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ramasamy\Documents\SingleCellSkinAnalysis\"/>
    </mc:Choice>
  </mc:AlternateContent>
  <xr:revisionPtr revIDLastSave="0" documentId="13_ncr:1_{4ECBD9DF-43D2-4D6B-AE1E-81A933797EA5}" xr6:coauthVersionLast="47" xr6:coauthVersionMax="47" xr10:uidLastSave="{00000000-0000-0000-0000-000000000000}"/>
  <bookViews>
    <workbookView xWindow="-108" yWindow="-108" windowWidth="23256" windowHeight="13896" tabRatio="608" xr2:uid="{00000000-000D-0000-FFFF-FFFF00000000}"/>
  </bookViews>
  <sheets>
    <sheet name="study level" sheetId="5" r:id="rId1"/>
    <sheet name="sample level" sheetId="1" r:id="rId2"/>
    <sheet name="He_2020" sheetId="6" r:id="rId3"/>
    <sheet name="Rojahn_2020" sheetId="2" r:id="rId4"/>
    <sheet name="Rindler_2021" sheetId="7" r:id="rId5"/>
    <sheet name="Bangert_2021" sheetId="8" r:id="rId6"/>
    <sheet name="Alkon_2022_Healthy" sheetId="3" r:id="rId7"/>
    <sheet name="Alkon_2022_AD" sheetId="4" r:id="rId8"/>
  </sheets>
  <definedNames>
    <definedName name="_xlnm._FilterDatabase" localSheetId="3" hidden="1">Rojahn_2020!$A$1:$H$24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" i="5" l="1"/>
  <c r="F7" i="5"/>
  <c r="G7" i="5"/>
  <c r="H7" i="5"/>
  <c r="I7" i="5"/>
  <c r="D7" i="5"/>
</calcChain>
</file>

<file path=xl/sharedStrings.xml><?xml version="1.0" encoding="utf-8"?>
<sst xmlns="http://schemas.openxmlformats.org/spreadsheetml/2006/main" count="1211" uniqueCount="334">
  <si>
    <t>geo_accession</t>
  </si>
  <si>
    <t>chemistry</t>
  </si>
  <si>
    <t>easi score</t>
  </si>
  <si>
    <t>GSE147424</t>
  </si>
  <si>
    <t>Frozen</t>
  </si>
  <si>
    <t>GSM4430460</t>
  </si>
  <si>
    <t>GSM4430461</t>
  </si>
  <si>
    <t>GSM4430462</t>
  </si>
  <si>
    <t>Healthy</t>
  </si>
  <si>
    <t>GSM4430463</t>
  </si>
  <si>
    <t>GSM4430464</t>
  </si>
  <si>
    <t>GSM4430465</t>
  </si>
  <si>
    <t>GSM4430466</t>
  </si>
  <si>
    <t>Fresh</t>
  </si>
  <si>
    <t>GSM4430467</t>
  </si>
  <si>
    <t>GSM4430468</t>
  </si>
  <si>
    <t>GSM4430469</t>
  </si>
  <si>
    <t>GSM4430470</t>
  </si>
  <si>
    <t>GSM4430471</t>
  </si>
  <si>
    <t>GSM4430472</t>
  </si>
  <si>
    <t>GSM4430473</t>
  </si>
  <si>
    <t>GSM4430474</t>
  </si>
  <si>
    <t>GSM4430475</t>
  </si>
  <si>
    <t>GSE180885</t>
  </si>
  <si>
    <t>GSM5474333</t>
  </si>
  <si>
    <t>GSM5474334</t>
  </si>
  <si>
    <t>GSM5474335</t>
  </si>
  <si>
    <t>AD2</t>
  </si>
  <si>
    <t>GSM5474336</t>
  </si>
  <si>
    <t>AD3</t>
  </si>
  <si>
    <t>GSM5474337</t>
  </si>
  <si>
    <t>AD4</t>
  </si>
  <si>
    <t>GSM5474338</t>
  </si>
  <si>
    <t>AD5</t>
  </si>
  <si>
    <t>GSM5474339</t>
  </si>
  <si>
    <t>GSE162054</t>
  </si>
  <si>
    <t>GSM4932358</t>
  </si>
  <si>
    <t>Allergic rhinoconjunctivitis, asthma</t>
  </si>
  <si>
    <t>Skin Suction blister</t>
  </si>
  <si>
    <t>GSM4932359</t>
  </si>
  <si>
    <t>Allergic rhinoconjunctivitis</t>
  </si>
  <si>
    <t>GSM4932360</t>
  </si>
  <si>
    <t>GSM4932361</t>
  </si>
  <si>
    <t>GSE153760</t>
  </si>
  <si>
    <t>AD1</t>
  </si>
  <si>
    <t>GSM4653855</t>
  </si>
  <si>
    <t>GSM4653856</t>
  </si>
  <si>
    <t>GSM4653857</t>
  </si>
  <si>
    <t>GSM4653858</t>
  </si>
  <si>
    <t>GSM4653859</t>
  </si>
  <si>
    <t>Skin Biopsy</t>
  </si>
  <si>
    <t>AD6</t>
  </si>
  <si>
    <t>GSM4653860</t>
  </si>
  <si>
    <t>AD7</t>
  </si>
  <si>
    <t>GSM4653861</t>
  </si>
  <si>
    <t>AD8</t>
  </si>
  <si>
    <t>GSM4653862</t>
  </si>
  <si>
    <t>HC1</t>
  </si>
  <si>
    <t>GSM4653863</t>
  </si>
  <si>
    <t>n.a.</t>
  </si>
  <si>
    <t>HC2</t>
  </si>
  <si>
    <t>GSM4653864</t>
  </si>
  <si>
    <t>HC3</t>
  </si>
  <si>
    <t>GSM4653865</t>
  </si>
  <si>
    <t>HC4</t>
  </si>
  <si>
    <t>GSM4653866</t>
  </si>
  <si>
    <t>HC5</t>
  </si>
  <si>
    <t>GSM4653867</t>
  </si>
  <si>
    <t>HC6</t>
  </si>
  <si>
    <t>GSM4653868</t>
  </si>
  <si>
    <t>HC7</t>
  </si>
  <si>
    <t>GSM4653869</t>
  </si>
  <si>
    <t>GSE158432</t>
  </si>
  <si>
    <t>GSM4800170</t>
  </si>
  <si>
    <t>Skin cell</t>
  </si>
  <si>
    <t>Dupilumab (16 weeks)</t>
  </si>
  <si>
    <t>GSM4800171</t>
  </si>
  <si>
    <t>GSM4800172</t>
  </si>
  <si>
    <t>GSM4800173</t>
  </si>
  <si>
    <t>GSM4800174</t>
  </si>
  <si>
    <t>Dupilumab (1 year)</t>
  </si>
  <si>
    <t>GSM4800175</t>
  </si>
  <si>
    <t>GSM4800176</t>
  </si>
  <si>
    <t>GSM4800177</t>
  </si>
  <si>
    <t>GSM4800178</t>
  </si>
  <si>
    <t>GSM4800179</t>
  </si>
  <si>
    <t>Untreated</t>
  </si>
  <si>
    <t>Notes</t>
  </si>
  <si>
    <t>tissue collection</t>
  </si>
  <si>
    <t>3' v2</t>
  </si>
  <si>
    <t>3' v3</t>
  </si>
  <si>
    <t>Baseline easi score 45.1</t>
  </si>
  <si>
    <t>Baseline easi score 26</t>
  </si>
  <si>
    <t>Baseline easi score 18</t>
  </si>
  <si>
    <t>Baseline easi score 42.3</t>
  </si>
  <si>
    <t>Baseline easi score 44.4</t>
  </si>
  <si>
    <t>FU of AD13; Baseline easi score 27.4</t>
  </si>
  <si>
    <t>FU of AD3; Baseline easi score 44.7</t>
  </si>
  <si>
    <t>FU of AD1; Baseline easi score 34.2</t>
  </si>
  <si>
    <t>FU of AD2; Baseline easi score 44.6</t>
  </si>
  <si>
    <t>sex</t>
  </si>
  <si>
    <t>age</t>
  </si>
  <si>
    <t>treatment</t>
  </si>
  <si>
    <t>male</t>
  </si>
  <si>
    <t>female</t>
  </si>
  <si>
    <t>Biopsy</t>
  </si>
  <si>
    <t>HC</t>
  </si>
  <si>
    <t>Caucasian</t>
  </si>
  <si>
    <t>Suction blister</t>
  </si>
  <si>
    <t>x</t>
  </si>
  <si>
    <t>AD</t>
  </si>
  <si>
    <t>Sample type</t>
  </si>
  <si>
    <t>scRNAseq</t>
  </si>
  <si>
    <t>OLINK</t>
  </si>
  <si>
    <t>Diagnosis</t>
  </si>
  <si>
    <t>EASI</t>
  </si>
  <si>
    <t>Ethnicity</t>
  </si>
  <si>
    <t>Sex</t>
  </si>
  <si>
    <t>Age</t>
  </si>
  <si>
    <t>Subject ID</t>
  </si>
  <si>
    <t>ID</t>
  </si>
  <si>
    <t>Age (y.)</t>
  </si>
  <si>
    <t>Gender</t>
  </si>
  <si>
    <t>Specimen</t>
  </si>
  <si>
    <t>Experimental Cohort</t>
  </si>
  <si>
    <t>N1</t>
  </si>
  <si>
    <t>F</t>
  </si>
  <si>
    <t>Skin</t>
  </si>
  <si>
    <t>10XGenomics (NHS1) / IP&amp;IF</t>
  </si>
  <si>
    <t>N2</t>
  </si>
  <si>
    <t>M</t>
  </si>
  <si>
    <t>10XGenomics (NHS2) / IP&amp;IF</t>
  </si>
  <si>
    <t>N3</t>
  </si>
  <si>
    <t>10XGenomics (NHS3) / FC / skin explant cultures</t>
  </si>
  <si>
    <t>N4</t>
  </si>
  <si>
    <t>IP&amp;IF / FC / skin explant cultures</t>
  </si>
  <si>
    <t>N5</t>
  </si>
  <si>
    <t xml:space="preserve">FC / skin explant cultures </t>
  </si>
  <si>
    <t>N6</t>
  </si>
  <si>
    <t>FC</t>
  </si>
  <si>
    <t>N7</t>
  </si>
  <si>
    <t>N8</t>
  </si>
  <si>
    <t>N9</t>
  </si>
  <si>
    <t>N10</t>
  </si>
  <si>
    <t>N12</t>
  </si>
  <si>
    <t>IF / FC</t>
  </si>
  <si>
    <t>N13</t>
  </si>
  <si>
    <t>N14</t>
  </si>
  <si>
    <t>N15</t>
  </si>
  <si>
    <t>IF</t>
  </si>
  <si>
    <t>N16</t>
  </si>
  <si>
    <t>N17</t>
  </si>
  <si>
    <t>N18</t>
  </si>
  <si>
    <t>N19</t>
  </si>
  <si>
    <t>N20</t>
  </si>
  <si>
    <t>N21</t>
  </si>
  <si>
    <t>IP&amp;IF</t>
  </si>
  <si>
    <t>N22</t>
  </si>
  <si>
    <t>N23</t>
  </si>
  <si>
    <t>N24</t>
  </si>
  <si>
    <t>N25</t>
  </si>
  <si>
    <t>Blood</t>
  </si>
  <si>
    <t>FC / ILCs expansion / RT-PCR</t>
  </si>
  <si>
    <t>N26</t>
  </si>
  <si>
    <t>N27</t>
  </si>
  <si>
    <t>N28</t>
  </si>
  <si>
    <t xml:space="preserve">FC </t>
  </si>
  <si>
    <t>N29</t>
  </si>
  <si>
    <t>N30</t>
  </si>
  <si>
    <t>N31</t>
  </si>
  <si>
    <t>FC / ILCs expansion</t>
  </si>
  <si>
    <t>N32</t>
  </si>
  <si>
    <t>N33</t>
  </si>
  <si>
    <t>N34</t>
  </si>
  <si>
    <t>N35</t>
  </si>
  <si>
    <t>N36</t>
  </si>
  <si>
    <t>N37</t>
  </si>
  <si>
    <t>N38</t>
  </si>
  <si>
    <t>N39</t>
  </si>
  <si>
    <t>N40</t>
  </si>
  <si>
    <t>N41</t>
  </si>
  <si>
    <t>N42</t>
  </si>
  <si>
    <t>N43</t>
  </si>
  <si>
    <t>N44</t>
  </si>
  <si>
    <t>N45</t>
  </si>
  <si>
    <t>N46</t>
  </si>
  <si>
    <t>N47</t>
  </si>
  <si>
    <t>N48</t>
  </si>
  <si>
    <t>N49</t>
  </si>
  <si>
    <t>ILCs expansion / RT-PCR</t>
  </si>
  <si>
    <t>N50</t>
  </si>
  <si>
    <t>N51</t>
  </si>
  <si>
    <t>N52</t>
  </si>
  <si>
    <t>RA</t>
  </si>
  <si>
    <t>Treatment</t>
  </si>
  <si>
    <t>A1</t>
  </si>
  <si>
    <t>+</t>
  </si>
  <si>
    <t>none</t>
  </si>
  <si>
    <t>A2</t>
  </si>
  <si>
    <t>10XGenomics (AD2)</t>
  </si>
  <si>
    <t>A3</t>
  </si>
  <si>
    <t>10XGenomics (AD3)</t>
  </si>
  <si>
    <t>A4</t>
  </si>
  <si>
    <t>10XGenomics (AD4) / FC</t>
  </si>
  <si>
    <t>A5</t>
  </si>
  <si>
    <t>10XGenomics (AD5) // ILCs expansion</t>
  </si>
  <si>
    <t>A6</t>
  </si>
  <si>
    <t>IP&amp;IF // ILCs expansion</t>
  </si>
  <si>
    <t>A7</t>
  </si>
  <si>
    <t>-</t>
  </si>
  <si>
    <t>ILCs expansion</t>
  </si>
  <si>
    <t>A8</t>
  </si>
  <si>
    <t>NA</t>
  </si>
  <si>
    <t>A9</t>
  </si>
  <si>
    <t xml:space="preserve">Skin </t>
  </si>
  <si>
    <t>A10</t>
  </si>
  <si>
    <t xml:space="preserve">+ </t>
  </si>
  <si>
    <t>A11</t>
  </si>
  <si>
    <t xml:space="preserve">IP&amp;IF 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</si>
  <si>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</si>
  <si>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</si>
  <si>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</si>
  <si>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</si>
  <si>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</si>
  <si>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</si>
  <si>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</si>
  <si>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</si>
  <si>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</si>
  <si>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</si>
  <si>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</si>
  <si>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</si>
  <si>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GSM4430459    </t>
  </si>
  <si>
    <t>Frozen  </t>
  </si>
  <si>
    <t>Study</t>
  </si>
  <si>
    <t>Lesional</t>
  </si>
  <si>
    <t>Non-lesional</t>
  </si>
  <si>
    <t>pubmed Link</t>
  </si>
  <si>
    <t>Sequencing Technology</t>
  </si>
  <si>
    <t>Institute</t>
  </si>
  <si>
    <t>He H, Suryawanshi H, Morozov P, Gay-Mimbrera J et al. Single-cell transcriptome analysis of human skin identifies novel fibroblast subpopulation and enrichment of immune subsets in atopic dermatitis. J Allergy Clin Immunol 2020 Jun;145(6):1615-1628. PMID: 32035984</t>
  </si>
  <si>
    <t>3' v2 (10x Genomics)</t>
  </si>
  <si>
    <t>Icahn School of Medicine at Mt. Sinai, USA</t>
  </si>
  <si>
    <t>Alkon N, Bauer WM, Krausgruber T, Goh I et al. Single-cell analysis reveals innate lymphoid cell lineage infidelity in atopic dermatitis. J Allergy Clin Immunol 2022 Feb;149(2):624-639. PMID: 34363841</t>
  </si>
  <si>
    <t>Medical University of Vienna</t>
  </si>
  <si>
    <t>Rindler K, Krausgruber T, Thaler FM, Alkon N et al. Spontaneously Resolved Atopic Dermatitis Shows Melanocyte and Immune Cell Activation Distinct From Healthy Control Skin. Front Immunol 2021;12:630892. PMID: 33717163</t>
  </si>
  <si>
    <t>3' v3 (10x Genomics)</t>
  </si>
  <si>
    <t xml:space="preserve">Rojahn TB, Vorstandlechner V, Krausgruber T, Bauer WM et al. Single-cell transcriptomics combined with interstitial fluid proteomics defines cell type-specific immune regulation in atopic dermatitis. J Allergy Clin Immunol 2020 Nov;146(5):1056-1069. PMID: 32344053. </t>
  </si>
  <si>
    <t>Bangert C, Rindler K, Krausgruber T, Alkon N et al. Persistence of mature dendritic cells, T(H)2A, and Tc2 cells characterize clinically resolved atopic dermatitis under IL-4Rα blockade. Sci Immunol 2021 Jan 22;6(55). PMID: 33483337</t>
  </si>
  <si>
    <t>He_2020</t>
  </si>
  <si>
    <t>Alkon_2022</t>
  </si>
  <si>
    <t>Rindler_2021</t>
  </si>
  <si>
    <t>Rojahn_2020</t>
  </si>
  <si>
    <t>Bangert_2021</t>
  </si>
  <si>
    <t>PMID</t>
  </si>
  <si>
    <t># genes</t>
  </si>
  <si>
    <t># cells</t>
  </si>
  <si>
    <t>IGA (0-4)</t>
  </si>
  <si>
    <r>
      <t>WBC, 10</t>
    </r>
    <r>
      <rPr>
        <b/>
        <vertAlign val="superscript"/>
        <sz val="11"/>
        <color rgb="FF000000"/>
        <rFont val="Arial"/>
        <family val="2"/>
      </rPr>
      <t>9</t>
    </r>
    <r>
      <rPr>
        <b/>
        <sz val="11"/>
        <color rgb="FF000000"/>
        <rFont val="Arial"/>
        <family val="2"/>
      </rPr>
      <t>/L</t>
    </r>
  </si>
  <si>
    <t>Source: Table E2</t>
  </si>
  <si>
    <t>Skin // Blood</t>
  </si>
  <si>
    <t>GSE</t>
  </si>
  <si>
    <t>Alkon_AD2</t>
  </si>
  <si>
    <t>Alkon_AD3</t>
  </si>
  <si>
    <t>Alkon_AD4</t>
  </si>
  <si>
    <t>Alkon_AD5</t>
  </si>
  <si>
    <t>Alkon_NHS1</t>
  </si>
  <si>
    <t>Alkon_NHS2</t>
  </si>
  <si>
    <t>Alkon_NHS3</t>
  </si>
  <si>
    <t>Supplementary Table E1</t>
  </si>
  <si>
    <t>Rojahn_AD1</t>
  </si>
  <si>
    <t>Rojahn_AD2</t>
  </si>
  <si>
    <t>Rojahn_AD3</t>
  </si>
  <si>
    <t>Rojahn_AD4</t>
  </si>
  <si>
    <t>Rojahn_AD5</t>
  </si>
  <si>
    <t>Rojahn_AD6</t>
  </si>
  <si>
    <t>Rojahn_AD7</t>
  </si>
  <si>
    <t>Rojahn_AD8</t>
  </si>
  <si>
    <t>Rojahn_HC1</t>
  </si>
  <si>
    <t>Rojahn_HC2</t>
  </si>
  <si>
    <t>Rojahn_HC3</t>
  </si>
  <si>
    <t>Rojahn_HC4</t>
  </si>
  <si>
    <t>Rojahn_HC5</t>
  </si>
  <si>
    <t>Rojahn_HC6</t>
  </si>
  <si>
    <t>Rojahn_HC7</t>
  </si>
  <si>
    <t>Rindler_AD20</t>
  </si>
  <si>
    <t>Rindler_AD21</t>
  </si>
  <si>
    <t>Rindler_AD24</t>
  </si>
  <si>
    <t>Rindler_AD25</t>
  </si>
  <si>
    <t>Bangert_AD10</t>
  </si>
  <si>
    <t>Bangert_AD11</t>
  </si>
  <si>
    <t>Bangert_AD12</t>
  </si>
  <si>
    <t>Bangert_AD13</t>
  </si>
  <si>
    <t>Bangert_AD14</t>
  </si>
  <si>
    <t>Bangert_AD15</t>
  </si>
  <si>
    <t>Bangert_AD16</t>
  </si>
  <si>
    <t>Bangert_AD17</t>
  </si>
  <si>
    <t>Bangert_AD18</t>
  </si>
  <si>
    <t>Bangert_AD19</t>
  </si>
  <si>
    <t>study_patient</t>
  </si>
  <si>
    <t>He_S1_LS </t>
  </si>
  <si>
    <t>He_S10_H</t>
  </si>
  <si>
    <t>He_S11_NL </t>
  </si>
  <si>
    <t>He_S12_H</t>
  </si>
  <si>
    <t>He_S13_H</t>
  </si>
  <si>
    <t>He_S14_NL </t>
  </si>
  <si>
    <t>He_S15_NL </t>
  </si>
  <si>
    <t>He_S16_NL </t>
  </si>
  <si>
    <t>He_S17_H</t>
  </si>
  <si>
    <t>He_S2_LS</t>
  </si>
  <si>
    <t>He_S3_NL</t>
  </si>
  <si>
    <t>He_S4_H </t>
  </si>
  <si>
    <t>He_S5_LS</t>
  </si>
  <si>
    <t>He_S6_H </t>
  </si>
  <si>
    <t>He_S7_LS</t>
  </si>
  <si>
    <t>He_S8_H </t>
  </si>
  <si>
    <t>He_S9_H </t>
  </si>
  <si>
    <t>6mm biospy</t>
  </si>
  <si>
    <t>No metadata on clinical data in the manuscript</t>
  </si>
  <si>
    <t>Only first 4 (spontaneously healed AD) is new in this study.</t>
  </si>
  <si>
    <t>Rest of the samples are re-used from Rojahn et al, 2020.</t>
  </si>
  <si>
    <t>From Supplementary Table S1</t>
  </si>
  <si>
    <t>patient status</t>
  </si>
  <si>
    <t>Order</t>
  </si>
  <si>
    <t>Assuming it is lesional but not clear from the manuscript itself</t>
  </si>
  <si>
    <t>treated skin 1yr</t>
  </si>
  <si>
    <t>treated skin 16w</t>
  </si>
  <si>
    <t>AD with treatment</t>
  </si>
  <si>
    <t>AD spontaneously healed</t>
  </si>
  <si>
    <t>spontaneously healed skin</t>
  </si>
  <si>
    <t>sample type</t>
  </si>
  <si>
    <t>Spontaneously healed</t>
  </si>
  <si>
    <t>Treated Duplimap 1yr</t>
  </si>
  <si>
    <t>Treated Duplimap 16w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</si>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</sst>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Arial"/>
      <family val="2"/>
    </font>
    <font>
      <sz val="12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000000"/>
      <name val="Arial"/>
      <family val="2"/>
    </font>
    <font>
      <b/>
      <vertAlign val="superscript"/>
      <sz val="11"/>
      <color rgb="FF000000"/>
      <name val="Arial"/>
      <family val="2"/>
    </font>
    <font>
      <b/>
      <sz val="11"/>
      <color rgb="FFFF0000"/>
      <name val="Calibri"/>
      <family val="2"/>
      <scheme val="minor"/>
    </font>
    <font>
      <b/>
      <sz val="12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5" fillId="0" borderId="0"/>
  </cellStyleXfs>
  <cellXfs count="44">
    <xf numFmtId="0" fontId="0" fillId="0" borderId="0" xfId="0"/>
    <xf numFmtId="0" fontId="3" fillId="0" borderId="0" xfId="0" applyFont="1"/>
    <xf numFmtId="0" fontId="5" fillId="0" borderId="0" xfId="1"/>
    <xf numFmtId="0" fontId="5" fillId="0" borderId="0" xfId="1" applyAlignment="1">
      <alignment horizontal="left"/>
    </xf>
    <xf numFmtId="0" fontId="5" fillId="0" borderId="1" xfId="1" applyBorder="1" applyAlignment="1">
      <alignment horizontal="left"/>
    </xf>
    <xf numFmtId="0" fontId="6" fillId="0" borderId="1" xfId="1" applyFont="1" applyBorder="1" applyAlignment="1">
      <alignment horizontal="left"/>
    </xf>
    <xf numFmtId="0" fontId="4" fillId="0" borderId="1" xfId="1" applyFont="1" applyBorder="1" applyAlignment="1">
      <alignment horizontal="left"/>
    </xf>
    <xf numFmtId="0" fontId="7" fillId="0" borderId="0" xfId="1" applyFont="1"/>
    <xf numFmtId="0" fontId="8" fillId="0" borderId="0" xfId="1" applyFont="1"/>
    <xf numFmtId="0" fontId="8" fillId="0" borderId="1" xfId="1" applyFont="1" applyBorder="1" applyAlignment="1">
      <alignment horizontal="left"/>
    </xf>
    <xf numFmtId="0" fontId="9" fillId="0" borderId="0" xfId="0" applyFont="1" applyAlignment="1">
      <alignment vertical="center" wrapText="1"/>
    </xf>
    <xf numFmtId="0" fontId="9" fillId="0" borderId="0" xfId="0" applyFont="1" applyAlignment="1">
      <alignment horizontal="justify" vertical="center" wrapText="1"/>
    </xf>
    <xf numFmtId="0" fontId="9" fillId="2" borderId="0" xfId="0" applyFont="1" applyFill="1" applyAlignment="1">
      <alignment horizontal="justify" vertical="center"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3" fillId="0" borderId="0" xfId="0" applyFont="1" applyAlignment="1">
      <alignment horizontal="left" vertical="center" wrapText="1"/>
    </xf>
    <xf numFmtId="0" fontId="9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0" fontId="9" fillId="2" borderId="0" xfId="0" applyFont="1" applyFill="1" applyAlignment="1">
      <alignment horizontal="left" vertical="center" wrapText="1"/>
    </xf>
    <xf numFmtId="0" fontId="10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center" wrapText="1"/>
    </xf>
    <xf numFmtId="3" fontId="10" fillId="0" borderId="0" xfId="0" applyNumberFormat="1" applyFont="1" applyAlignment="1">
      <alignment horizontal="center"/>
    </xf>
    <xf numFmtId="0" fontId="3" fillId="0" borderId="0" xfId="0" applyFont="1" applyAlignment="1">
      <alignment horizontal="left"/>
    </xf>
    <xf numFmtId="0" fontId="15" fillId="0" borderId="0" xfId="1" applyFont="1"/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Font="1"/>
    <xf numFmtId="0" fontId="0" fillId="0" borderId="0" xfId="0" applyFont="1" applyAlignment="1">
      <alignment horizontal="center"/>
    </xf>
    <xf numFmtId="0" fontId="0" fillId="0" borderId="0" xfId="0" applyFont="1" applyAlignment="1">
      <alignment horizontal="left"/>
    </xf>
    <xf numFmtId="0" fontId="1" fillId="0" borderId="0" xfId="1" applyFont="1" applyAlignment="1">
      <alignment horizontal="center"/>
    </xf>
    <xf numFmtId="0" fontId="0" fillId="0" borderId="0" xfId="0" applyFont="1" applyAlignment="1">
      <alignment horizontal="center" vertical="center" wrapText="1"/>
    </xf>
    <xf numFmtId="0" fontId="0" fillId="0" borderId="0" xfId="0" applyFont="1" applyAlignment="1">
      <alignment horizontal="left" vertical="center" wrapText="1"/>
    </xf>
    <xf numFmtId="0" fontId="1" fillId="0" borderId="0" xfId="0" applyFont="1"/>
    <xf numFmtId="0" fontId="7" fillId="0" borderId="0" xfId="0" applyFont="1"/>
    <xf numFmtId="0" fontId="10" fillId="0" borderId="2" xfId="0" applyFont="1" applyBorder="1" applyAlignment="1">
      <alignment horizontal="left"/>
    </xf>
    <xf numFmtId="0" fontId="10" fillId="0" borderId="2" xfId="0" applyFont="1" applyBorder="1" applyAlignment="1">
      <alignment horizontal="center"/>
    </xf>
    <xf numFmtId="3" fontId="10" fillId="0" borderId="2" xfId="0" applyNumberFormat="1" applyFont="1" applyBorder="1" applyAlignment="1">
      <alignment horizontal="center"/>
    </xf>
    <xf numFmtId="0" fontId="2" fillId="0" borderId="2" xfId="0" applyFont="1" applyBorder="1" applyAlignment="1">
      <alignment horizontal="left"/>
    </xf>
    <xf numFmtId="0" fontId="16" fillId="0" borderId="0" xfId="0" applyFont="1" applyAlignment="1">
      <alignment horizontal="left"/>
    </xf>
    <xf numFmtId="0" fontId="16" fillId="0" borderId="0" xfId="0" applyFont="1" applyAlignment="1">
      <alignment horizontal="center"/>
    </xf>
    <xf numFmtId="0" fontId="12" fillId="0" borderId="2" xfId="0" applyFont="1" applyBorder="1" applyAlignment="1">
      <alignment horizontal="left"/>
    </xf>
    <xf numFmtId="0" fontId="12" fillId="0" borderId="2" xfId="0" applyFont="1" applyBorder="1" applyAlignment="1">
      <alignment horizontal="center"/>
    </xf>
  </cellXfs>
  <cellStyles count="2">
    <cellStyle name="Normal" xfId="0" builtinId="0"/>
    <cellStyle name="Normal 2" xfId="1" xr:uid="{BF9F7201-FB98-7644-A3FA-D8F6BCFC6E6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7.png"/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121920</xdr:colOff>
      <xdr:row>1</xdr:row>
      <xdr:rowOff>38100</xdr:rowOff>
    </xdr:from>
    <xdr:to>
      <xdr:col>13</xdr:col>
      <xdr:colOff>229610</xdr:colOff>
      <xdr:row>8</xdr:row>
      <xdr:rowOff>34468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06B529-E618-5CC2-64F0-EBEDDEEDBA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291840" y="220980"/>
          <a:ext cx="7240010" cy="1276528"/>
        </a:xfrm>
        <a:prstGeom prst="rect">
          <a:avLst/>
        </a:prstGeom>
      </xdr:spPr>
    </xdr:pic>
    <xdr:clientData/>
  </xdr:twoCellAnchor>
  <xdr:twoCellAnchor editAs="oneCell">
    <xdr:from>
      <xdr:col>4</xdr:col>
      <xdr:colOff>60960</xdr:colOff>
      <xdr:row>9</xdr:row>
      <xdr:rowOff>60960</xdr:rowOff>
    </xdr:from>
    <xdr:to>
      <xdr:col>13</xdr:col>
      <xdr:colOff>244861</xdr:colOff>
      <xdr:row>25</xdr:row>
      <xdr:rowOff>88042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36653FA-5909-4293-5A28-9775F3AE0E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230880" y="1706880"/>
          <a:ext cx="7316221" cy="295316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671326</xdr:colOff>
      <xdr:row>2</xdr:row>
      <xdr:rowOff>42672</xdr:rowOff>
    </xdr:from>
    <xdr:to>
      <xdr:col>17</xdr:col>
      <xdr:colOff>171709</xdr:colOff>
      <xdr:row>26</xdr:row>
      <xdr:rowOff>21019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7779EBF-9315-4AED-0F3F-BEF03092C6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645662" y="408432"/>
          <a:ext cx="5401311" cy="436746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13</xdr:col>
      <xdr:colOff>499268</xdr:colOff>
      <xdr:row>32</xdr:row>
      <xdr:rowOff>76200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81703D-5EFA-22F4-A4FB-35BBC06734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0829811" cy="599802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43543</xdr:colOff>
      <xdr:row>2</xdr:row>
      <xdr:rowOff>130629</xdr:rowOff>
    </xdr:from>
    <xdr:to>
      <xdr:col>12</xdr:col>
      <xdr:colOff>261257</xdr:colOff>
      <xdr:row>26</xdr:row>
      <xdr:rowOff>109660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5877DED-6A94-1D0E-167F-FF55A5FE28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3543" y="500743"/>
          <a:ext cx="9753600" cy="4420403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26</xdr:row>
      <xdr:rowOff>87086</xdr:rowOff>
    </xdr:from>
    <xdr:to>
      <xdr:col>12</xdr:col>
      <xdr:colOff>307872</xdr:colOff>
      <xdr:row>36</xdr:row>
      <xdr:rowOff>141514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96A8BC9-F490-9490-203A-651AEF1ED4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4898572"/>
          <a:ext cx="9843758" cy="1904999"/>
        </a:xfrm>
        <a:prstGeom prst="rect">
          <a:avLst/>
        </a:prstGeom>
      </xdr:spPr>
    </xdr:pic>
    <xdr:clientData/>
  </xdr:twoCellAnchor>
  <xdr:twoCellAnchor editAs="oneCell">
    <xdr:from>
      <xdr:col>13</xdr:col>
      <xdr:colOff>119743</xdr:colOff>
      <xdr:row>2</xdr:row>
      <xdr:rowOff>76200</xdr:rowOff>
    </xdr:from>
    <xdr:to>
      <xdr:col>22</xdr:col>
      <xdr:colOff>207839</xdr:colOff>
      <xdr:row>11</xdr:row>
      <xdr:rowOff>182582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0793E1F-4DCA-4738-D6C5-ECB93B4755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450286" y="446314"/>
          <a:ext cx="7240010" cy="17718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342900</xdr:colOff>
      <xdr:row>1</xdr:row>
      <xdr:rowOff>44708</xdr:rowOff>
    </xdr:from>
    <xdr:to>
      <xdr:col>13</xdr:col>
      <xdr:colOff>1215651</xdr:colOff>
      <xdr:row>22</xdr:row>
      <xdr:rowOff>15239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1463D55-BADF-4B18-A446-74E0883753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17180" y="250448"/>
          <a:ext cx="5216151" cy="381101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08A57-861E-4948-8A57-F4E50F2E460A}">
  <dimension ref="A1:N7"/>
  <sheetViews>
    <sheetView tabSelected="1" workbookViewId="0"/>
  </sheetViews>
  <sheetFormatPr defaultColWidth="8.77734375" defaultRowHeight="15.6" x14ac:dyDescent="0.3"/>
  <cols>
    <col min="1" max="1" width="13.77734375" style="19" bestFit="1" customWidth="1"/>
    <col min="2" max="2" width="10.44140625" style="19" bestFit="1" customWidth="1"/>
    <col min="3" max="3" width="11.21875" style="19" bestFit="1" customWidth="1"/>
    <col min="4" max="4" width="9" style="21" bestFit="1" customWidth="1"/>
    <col min="5" max="5" width="22" style="21" bestFit="1" customWidth="1"/>
    <col min="6" max="6" width="21.6640625" style="21" bestFit="1" customWidth="1"/>
    <col min="7" max="7" width="22.6640625" style="21" bestFit="1" customWidth="1"/>
    <col min="8" max="8" width="12.77734375" style="21" bestFit="1" customWidth="1"/>
    <col min="9" max="9" width="8.44140625" style="21" bestFit="1" customWidth="1"/>
    <col min="10" max="10" width="8.33203125" style="21" customWidth="1"/>
    <col min="11" max="11" width="9.33203125" style="21" customWidth="1"/>
    <col min="12" max="12" width="23" style="19" bestFit="1" customWidth="1"/>
    <col min="13" max="13" width="41.109375" style="19" bestFit="1" customWidth="1"/>
    <col min="14" max="14" width="255.77734375" style="19" bestFit="1" customWidth="1"/>
    <col min="15" max="16384" width="8.77734375" style="19"/>
  </cols>
  <sheetData>
    <row r="1" spans="1:14" x14ac:dyDescent="0.3">
      <c r="A1" s="42" t="s">
        <v>233</v>
      </c>
      <c r="B1" s="42" t="s">
        <v>253</v>
      </c>
      <c r="C1" s="42" t="s">
        <v>260</v>
      </c>
      <c r="D1" s="43" t="s">
        <v>8</v>
      </c>
      <c r="E1" s="43" t="s">
        <v>330</v>
      </c>
      <c r="F1" s="43" t="s">
        <v>331</v>
      </c>
      <c r="G1" s="43" t="s">
        <v>332</v>
      </c>
      <c r="H1" s="43" t="s">
        <v>235</v>
      </c>
      <c r="I1" s="43" t="s">
        <v>234</v>
      </c>
      <c r="J1" s="43" t="s">
        <v>255</v>
      </c>
      <c r="K1" s="43" t="s">
        <v>254</v>
      </c>
      <c r="L1" s="42" t="s">
        <v>237</v>
      </c>
      <c r="M1" s="42" t="s">
        <v>238</v>
      </c>
      <c r="N1" s="42" t="s">
        <v>236</v>
      </c>
    </row>
    <row r="2" spans="1:14" x14ac:dyDescent="0.3">
      <c r="A2" s="19" t="s">
        <v>248</v>
      </c>
      <c r="B2" s="19">
        <v>32035984</v>
      </c>
      <c r="C2" s="19" t="s">
        <v>3</v>
      </c>
      <c r="D2" s="21">
        <v>8</v>
      </c>
      <c r="H2" s="21">
        <v>5</v>
      </c>
      <c r="I2" s="21">
        <v>4</v>
      </c>
      <c r="J2" s="23">
        <v>39600</v>
      </c>
      <c r="K2" s="23">
        <v>18433</v>
      </c>
      <c r="L2" s="20" t="s">
        <v>240</v>
      </c>
      <c r="M2" s="20" t="s">
        <v>241</v>
      </c>
      <c r="N2" s="19" t="s">
        <v>239</v>
      </c>
    </row>
    <row r="3" spans="1:14" x14ac:dyDescent="0.3">
      <c r="A3" s="19" t="s">
        <v>251</v>
      </c>
      <c r="B3" s="19">
        <v>32344053</v>
      </c>
      <c r="C3" s="19" t="s">
        <v>43</v>
      </c>
      <c r="D3" s="22">
        <v>7</v>
      </c>
      <c r="E3" s="22"/>
      <c r="F3" s="22"/>
      <c r="G3" s="22"/>
      <c r="H3" s="22"/>
      <c r="I3" s="22">
        <v>8</v>
      </c>
      <c r="J3" s="23">
        <v>57607</v>
      </c>
      <c r="K3" s="23">
        <v>24984</v>
      </c>
      <c r="L3" s="20" t="s">
        <v>240</v>
      </c>
      <c r="M3" s="20" t="s">
        <v>243</v>
      </c>
      <c r="N3" s="19" t="s">
        <v>246</v>
      </c>
    </row>
    <row r="4" spans="1:14" x14ac:dyDescent="0.3">
      <c r="A4" s="19" t="s">
        <v>250</v>
      </c>
      <c r="B4" s="19">
        <v>33717163</v>
      </c>
      <c r="C4" s="19" t="s">
        <v>35</v>
      </c>
      <c r="E4" s="21">
        <v>4</v>
      </c>
      <c r="J4" s="23">
        <v>2637</v>
      </c>
      <c r="K4" s="23">
        <v>18403</v>
      </c>
      <c r="L4" s="20" t="s">
        <v>245</v>
      </c>
      <c r="M4" s="20" t="s">
        <v>243</v>
      </c>
      <c r="N4" s="19" t="s">
        <v>244</v>
      </c>
    </row>
    <row r="5" spans="1:14" x14ac:dyDescent="0.3">
      <c r="A5" s="19" t="s">
        <v>252</v>
      </c>
      <c r="B5" s="19">
        <v>33483337</v>
      </c>
      <c r="C5" s="19" t="s">
        <v>72</v>
      </c>
      <c r="F5" s="21">
        <v>4</v>
      </c>
      <c r="G5" s="21">
        <v>5</v>
      </c>
      <c r="I5" s="21">
        <v>1</v>
      </c>
      <c r="J5" s="23">
        <v>19379</v>
      </c>
      <c r="K5" s="23">
        <v>22176</v>
      </c>
      <c r="L5" s="20" t="s">
        <v>245</v>
      </c>
      <c r="M5" s="20" t="s">
        <v>243</v>
      </c>
      <c r="N5" s="19" t="s">
        <v>247</v>
      </c>
    </row>
    <row r="6" spans="1:14" x14ac:dyDescent="0.3">
      <c r="A6" s="36" t="s">
        <v>249</v>
      </c>
      <c r="B6" s="36">
        <v>34363841</v>
      </c>
      <c r="C6" s="36" t="s">
        <v>23</v>
      </c>
      <c r="D6" s="37">
        <v>3</v>
      </c>
      <c r="E6" s="37"/>
      <c r="F6" s="37"/>
      <c r="G6" s="37"/>
      <c r="H6" s="37"/>
      <c r="I6" s="37">
        <v>4</v>
      </c>
      <c r="J6" s="38">
        <v>25034</v>
      </c>
      <c r="K6" s="38">
        <v>19195</v>
      </c>
      <c r="L6" s="39" t="s">
        <v>240</v>
      </c>
      <c r="M6" s="39" t="s">
        <v>243</v>
      </c>
      <c r="N6" s="36" t="s">
        <v>242</v>
      </c>
    </row>
    <row r="7" spans="1:14" s="40" customFormat="1" x14ac:dyDescent="0.3">
      <c r="C7" s="40" t="s">
        <v>333</v>
      </c>
      <c r="D7" s="41">
        <f>SUM(D2:D6)</f>
        <v>18</v>
      </c>
      <c r="E7" s="41">
        <f t="shared" ref="E7:I7" si="0">SUM(E2:E6)</f>
        <v>4</v>
      </c>
      <c r="F7" s="41">
        <f t="shared" si="0"/>
        <v>4</v>
      </c>
      <c r="G7" s="41">
        <f t="shared" si="0"/>
        <v>5</v>
      </c>
      <c r="H7" s="41">
        <f t="shared" si="0"/>
        <v>5</v>
      </c>
      <c r="I7" s="41">
        <f t="shared" si="0"/>
        <v>17</v>
      </c>
      <c r="J7" s="41"/>
      <c r="K7" s="41"/>
    </row>
  </sheetData>
  <sortState xmlns:xlrd2="http://schemas.microsoft.com/office/spreadsheetml/2017/richdata2" ref="A2:M5">
    <sortCondition ref="B1:B5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4"/>
  <sheetViews>
    <sheetView zoomScale="85" zoomScaleNormal="85" workbookViewId="0">
      <pane xSplit="7" ySplit="1" topLeftCell="H17" activePane="bottomRight" state="frozen"/>
      <selection pane="topRight" activeCell="D1" sqref="D1"/>
      <selection pane="bottomLeft" activeCell="A2" sqref="A2"/>
      <selection pane="bottomRight" activeCell="I47" sqref="I47"/>
    </sheetView>
  </sheetViews>
  <sheetFormatPr defaultColWidth="11.44140625" defaultRowHeight="14.4" x14ac:dyDescent="0.3"/>
  <cols>
    <col min="1" max="1" width="6.109375" bestFit="1" customWidth="1"/>
    <col min="2" max="2" width="12.77734375" bestFit="1" customWidth="1"/>
    <col min="3" max="3" width="10.44140625" bestFit="1" customWidth="1"/>
    <col min="4" max="4" width="14.33203125" bestFit="1" customWidth="1"/>
    <col min="5" max="5" width="13.5546875" bestFit="1" customWidth="1"/>
    <col min="6" max="6" width="4" style="27" bestFit="1" customWidth="1"/>
    <col min="7" max="7" width="6.77734375" style="27" customWidth="1"/>
    <col min="8" max="8" width="22.88671875" bestFit="1" customWidth="1"/>
    <col min="9" max="9" width="23.77734375" bestFit="1" customWidth="1"/>
    <col min="10" max="10" width="20.109375" bestFit="1" customWidth="1"/>
    <col min="11" max="11" width="17" bestFit="1" customWidth="1"/>
    <col min="12" max="12" width="9.6640625" bestFit="1" customWidth="1"/>
    <col min="13" max="13" width="9.5546875" style="17" bestFit="1" customWidth="1"/>
    <col min="14" max="14" width="55" bestFit="1" customWidth="1"/>
  </cols>
  <sheetData>
    <row r="1" spans="1:14" s="1" customFormat="1" x14ac:dyDescent="0.3">
      <c r="A1" s="1" t="s">
        <v>322</v>
      </c>
      <c r="B1" s="1" t="s">
        <v>233</v>
      </c>
      <c r="C1" s="1" t="s">
        <v>260</v>
      </c>
      <c r="D1" s="1" t="s">
        <v>0</v>
      </c>
      <c r="E1" s="1" t="s">
        <v>298</v>
      </c>
      <c r="F1" s="26" t="s">
        <v>101</v>
      </c>
      <c r="G1" s="26" t="s">
        <v>100</v>
      </c>
      <c r="H1" s="1" t="s">
        <v>321</v>
      </c>
      <c r="I1" s="1" t="s">
        <v>329</v>
      </c>
      <c r="J1" s="1" t="s">
        <v>102</v>
      </c>
      <c r="K1" s="1" t="s">
        <v>88</v>
      </c>
      <c r="L1" s="1" t="s">
        <v>1</v>
      </c>
      <c r="M1" s="24" t="s">
        <v>2</v>
      </c>
      <c r="N1" s="1" t="s">
        <v>87</v>
      </c>
    </row>
    <row r="2" spans="1:14" x14ac:dyDescent="0.3">
      <c r="A2" s="17">
        <v>1</v>
      </c>
      <c r="B2" s="30" t="s">
        <v>248</v>
      </c>
      <c r="C2" s="28" t="s">
        <v>3</v>
      </c>
      <c r="D2" s="34" t="s">
        <v>231</v>
      </c>
      <c r="E2" s="34" t="s">
        <v>299</v>
      </c>
      <c r="F2" s="29" t="s">
        <v>212</v>
      </c>
      <c r="G2" s="29" t="s">
        <v>212</v>
      </c>
      <c r="H2" s="28" t="s">
        <v>110</v>
      </c>
      <c r="I2" s="34" t="s">
        <v>234</v>
      </c>
      <c r="J2" s="28" t="s">
        <v>86</v>
      </c>
      <c r="K2" s="28" t="s">
        <v>50</v>
      </c>
      <c r="L2" s="28" t="s">
        <v>89</v>
      </c>
      <c r="M2" s="30" t="s">
        <v>212</v>
      </c>
      <c r="N2" s="34" t="s">
        <v>232</v>
      </c>
    </row>
    <row r="3" spans="1:14" x14ac:dyDescent="0.3">
      <c r="A3" s="17">
        <v>2</v>
      </c>
      <c r="B3" s="30" t="s">
        <v>248</v>
      </c>
      <c r="C3" s="28" t="s">
        <v>3</v>
      </c>
      <c r="D3" s="34" t="s">
        <v>15</v>
      </c>
      <c r="E3" s="34" t="s">
        <v>300</v>
      </c>
      <c r="F3" s="29" t="s">
        <v>212</v>
      </c>
      <c r="G3" s="29" t="s">
        <v>212</v>
      </c>
      <c r="H3" s="34" t="s">
        <v>8</v>
      </c>
      <c r="I3" s="34" t="s">
        <v>8</v>
      </c>
      <c r="J3" s="28" t="s">
        <v>86</v>
      </c>
      <c r="K3" s="28" t="s">
        <v>50</v>
      </c>
      <c r="L3" s="28" t="s">
        <v>89</v>
      </c>
      <c r="M3" s="30" t="s">
        <v>212</v>
      </c>
      <c r="N3" s="34" t="s">
        <v>4</v>
      </c>
    </row>
    <row r="4" spans="1:14" x14ac:dyDescent="0.3">
      <c r="A4" s="17">
        <v>3</v>
      </c>
      <c r="B4" s="30" t="s">
        <v>248</v>
      </c>
      <c r="C4" s="28" t="s">
        <v>3</v>
      </c>
      <c r="D4" s="34" t="s">
        <v>16</v>
      </c>
      <c r="E4" s="34" t="s">
        <v>301</v>
      </c>
      <c r="F4" s="29" t="s">
        <v>212</v>
      </c>
      <c r="G4" s="29" t="s">
        <v>212</v>
      </c>
      <c r="H4" s="28" t="s">
        <v>110</v>
      </c>
      <c r="I4" s="34" t="s">
        <v>235</v>
      </c>
      <c r="J4" s="28" t="s">
        <v>86</v>
      </c>
      <c r="K4" s="28" t="s">
        <v>50</v>
      </c>
      <c r="L4" s="28" t="s">
        <v>89</v>
      </c>
      <c r="M4" s="30" t="s">
        <v>212</v>
      </c>
      <c r="N4" s="34" t="s">
        <v>4</v>
      </c>
    </row>
    <row r="5" spans="1:14" x14ac:dyDescent="0.3">
      <c r="A5" s="17">
        <v>4</v>
      </c>
      <c r="B5" s="30" t="s">
        <v>248</v>
      </c>
      <c r="C5" s="28" t="s">
        <v>3</v>
      </c>
      <c r="D5" s="34" t="s">
        <v>17</v>
      </c>
      <c r="E5" s="34" t="s">
        <v>302</v>
      </c>
      <c r="F5" s="29" t="s">
        <v>212</v>
      </c>
      <c r="G5" s="29" t="s">
        <v>212</v>
      </c>
      <c r="H5" s="34" t="s">
        <v>8</v>
      </c>
      <c r="I5" s="34" t="s">
        <v>8</v>
      </c>
      <c r="J5" s="28" t="s">
        <v>86</v>
      </c>
      <c r="K5" s="28" t="s">
        <v>50</v>
      </c>
      <c r="L5" s="28" t="s">
        <v>89</v>
      </c>
      <c r="M5" s="30" t="s">
        <v>212</v>
      </c>
      <c r="N5" s="34" t="s">
        <v>4</v>
      </c>
    </row>
    <row r="6" spans="1:14" x14ac:dyDescent="0.3">
      <c r="A6" s="17">
        <v>5</v>
      </c>
      <c r="B6" s="30" t="s">
        <v>248</v>
      </c>
      <c r="C6" s="28" t="s">
        <v>3</v>
      </c>
      <c r="D6" s="34" t="s">
        <v>18</v>
      </c>
      <c r="E6" s="34" t="s">
        <v>303</v>
      </c>
      <c r="F6" s="29" t="s">
        <v>212</v>
      </c>
      <c r="G6" s="29" t="s">
        <v>212</v>
      </c>
      <c r="H6" s="34" t="s">
        <v>8</v>
      </c>
      <c r="I6" s="34" t="s">
        <v>8</v>
      </c>
      <c r="J6" s="28" t="s">
        <v>86</v>
      </c>
      <c r="K6" s="28" t="s">
        <v>50</v>
      </c>
      <c r="L6" s="28" t="s">
        <v>89</v>
      </c>
      <c r="M6" s="30" t="s">
        <v>212</v>
      </c>
      <c r="N6" s="34" t="s">
        <v>4</v>
      </c>
    </row>
    <row r="7" spans="1:14" x14ac:dyDescent="0.3">
      <c r="A7" s="17">
        <v>6</v>
      </c>
      <c r="B7" s="30" t="s">
        <v>248</v>
      </c>
      <c r="C7" s="28" t="s">
        <v>3</v>
      </c>
      <c r="D7" s="34" t="s">
        <v>19</v>
      </c>
      <c r="E7" s="34" t="s">
        <v>304</v>
      </c>
      <c r="F7" s="29" t="s">
        <v>212</v>
      </c>
      <c r="G7" s="29" t="s">
        <v>212</v>
      </c>
      <c r="H7" s="28" t="s">
        <v>110</v>
      </c>
      <c r="I7" s="34" t="s">
        <v>235</v>
      </c>
      <c r="J7" s="28" t="s">
        <v>86</v>
      </c>
      <c r="K7" s="28" t="s">
        <v>50</v>
      </c>
      <c r="L7" s="28" t="s">
        <v>89</v>
      </c>
      <c r="M7" s="30" t="s">
        <v>212</v>
      </c>
      <c r="N7" s="34" t="s">
        <v>4</v>
      </c>
    </row>
    <row r="8" spans="1:14" x14ac:dyDescent="0.3">
      <c r="A8" s="17">
        <v>7</v>
      </c>
      <c r="B8" s="30" t="s">
        <v>248</v>
      </c>
      <c r="C8" s="28" t="s">
        <v>3</v>
      </c>
      <c r="D8" s="34" t="s">
        <v>20</v>
      </c>
      <c r="E8" s="34" t="s">
        <v>305</v>
      </c>
      <c r="F8" s="29" t="s">
        <v>212</v>
      </c>
      <c r="G8" s="29" t="s">
        <v>212</v>
      </c>
      <c r="H8" s="28" t="s">
        <v>110</v>
      </c>
      <c r="I8" s="34" t="s">
        <v>235</v>
      </c>
      <c r="J8" s="28" t="s">
        <v>86</v>
      </c>
      <c r="K8" s="28" t="s">
        <v>50</v>
      </c>
      <c r="L8" s="28" t="s">
        <v>89</v>
      </c>
      <c r="M8" s="30" t="s">
        <v>212</v>
      </c>
      <c r="N8" s="34" t="s">
        <v>4</v>
      </c>
    </row>
    <row r="9" spans="1:14" x14ac:dyDescent="0.3">
      <c r="A9" s="17">
        <v>8</v>
      </c>
      <c r="B9" s="30" t="s">
        <v>248</v>
      </c>
      <c r="C9" s="28" t="s">
        <v>3</v>
      </c>
      <c r="D9" s="34" t="s">
        <v>21</v>
      </c>
      <c r="E9" s="34" t="s">
        <v>306</v>
      </c>
      <c r="F9" s="29" t="s">
        <v>212</v>
      </c>
      <c r="G9" s="29" t="s">
        <v>212</v>
      </c>
      <c r="H9" s="28" t="s">
        <v>110</v>
      </c>
      <c r="I9" s="34" t="s">
        <v>235</v>
      </c>
      <c r="J9" s="28" t="s">
        <v>86</v>
      </c>
      <c r="K9" s="28" t="s">
        <v>50</v>
      </c>
      <c r="L9" s="28" t="s">
        <v>89</v>
      </c>
      <c r="M9" s="30" t="s">
        <v>212</v>
      </c>
      <c r="N9" s="34" t="s">
        <v>4</v>
      </c>
    </row>
    <row r="10" spans="1:14" x14ac:dyDescent="0.3">
      <c r="A10" s="17">
        <v>9</v>
      </c>
      <c r="B10" s="30" t="s">
        <v>248</v>
      </c>
      <c r="C10" s="28" t="s">
        <v>3</v>
      </c>
      <c r="D10" s="34" t="s">
        <v>22</v>
      </c>
      <c r="E10" s="34" t="s">
        <v>307</v>
      </c>
      <c r="F10" s="29" t="s">
        <v>212</v>
      </c>
      <c r="G10" s="29" t="s">
        <v>212</v>
      </c>
      <c r="H10" s="34" t="s">
        <v>8</v>
      </c>
      <c r="I10" s="34" t="s">
        <v>8</v>
      </c>
      <c r="J10" s="28" t="s">
        <v>86</v>
      </c>
      <c r="K10" s="28" t="s">
        <v>50</v>
      </c>
      <c r="L10" s="28" t="s">
        <v>89</v>
      </c>
      <c r="M10" s="30" t="s">
        <v>212</v>
      </c>
      <c r="N10" s="34" t="s">
        <v>4</v>
      </c>
    </row>
    <row r="11" spans="1:14" x14ac:dyDescent="0.3">
      <c r="A11" s="17">
        <v>10</v>
      </c>
      <c r="B11" s="30" t="s">
        <v>248</v>
      </c>
      <c r="C11" s="28" t="s">
        <v>3</v>
      </c>
      <c r="D11" s="34" t="s">
        <v>5</v>
      </c>
      <c r="E11" s="34" t="s">
        <v>308</v>
      </c>
      <c r="F11" s="29" t="s">
        <v>212</v>
      </c>
      <c r="G11" s="29" t="s">
        <v>212</v>
      </c>
      <c r="H11" s="28" t="s">
        <v>110</v>
      </c>
      <c r="I11" s="34" t="s">
        <v>234</v>
      </c>
      <c r="J11" s="28" t="s">
        <v>86</v>
      </c>
      <c r="K11" s="28" t="s">
        <v>50</v>
      </c>
      <c r="L11" s="28" t="s">
        <v>89</v>
      </c>
      <c r="M11" s="30" t="s">
        <v>212</v>
      </c>
      <c r="N11" s="34" t="s">
        <v>4</v>
      </c>
    </row>
    <row r="12" spans="1:14" x14ac:dyDescent="0.3">
      <c r="A12" s="17">
        <v>11</v>
      </c>
      <c r="B12" s="30" t="s">
        <v>248</v>
      </c>
      <c r="C12" s="28" t="s">
        <v>3</v>
      </c>
      <c r="D12" s="34" t="s">
        <v>6</v>
      </c>
      <c r="E12" s="34" t="s">
        <v>309</v>
      </c>
      <c r="F12" s="29" t="s">
        <v>212</v>
      </c>
      <c r="G12" s="29" t="s">
        <v>212</v>
      </c>
      <c r="H12" s="28" t="s">
        <v>110</v>
      </c>
      <c r="I12" s="34" t="s">
        <v>235</v>
      </c>
      <c r="J12" s="28" t="s">
        <v>86</v>
      </c>
      <c r="K12" s="28" t="s">
        <v>50</v>
      </c>
      <c r="L12" s="28" t="s">
        <v>89</v>
      </c>
      <c r="M12" s="30" t="s">
        <v>212</v>
      </c>
      <c r="N12" s="34" t="s">
        <v>4</v>
      </c>
    </row>
    <row r="13" spans="1:14" x14ac:dyDescent="0.3">
      <c r="A13" s="17">
        <v>12</v>
      </c>
      <c r="B13" s="30" t="s">
        <v>248</v>
      </c>
      <c r="C13" s="28" t="s">
        <v>3</v>
      </c>
      <c r="D13" s="34" t="s">
        <v>7</v>
      </c>
      <c r="E13" s="34" t="s">
        <v>310</v>
      </c>
      <c r="F13" s="29" t="s">
        <v>212</v>
      </c>
      <c r="G13" s="29" t="s">
        <v>212</v>
      </c>
      <c r="H13" s="34" t="s">
        <v>8</v>
      </c>
      <c r="I13" s="34" t="s">
        <v>8</v>
      </c>
      <c r="J13" s="28" t="s">
        <v>86</v>
      </c>
      <c r="K13" s="28" t="s">
        <v>50</v>
      </c>
      <c r="L13" s="28" t="s">
        <v>89</v>
      </c>
      <c r="M13" s="30" t="s">
        <v>212</v>
      </c>
      <c r="N13" s="34" t="s">
        <v>4</v>
      </c>
    </row>
    <row r="14" spans="1:14" x14ac:dyDescent="0.3">
      <c r="A14" s="17">
        <v>13</v>
      </c>
      <c r="B14" s="30" t="s">
        <v>248</v>
      </c>
      <c r="C14" s="28" t="s">
        <v>3</v>
      </c>
      <c r="D14" s="34" t="s">
        <v>9</v>
      </c>
      <c r="E14" s="34" t="s">
        <v>311</v>
      </c>
      <c r="F14" s="29" t="s">
        <v>212</v>
      </c>
      <c r="G14" s="29" t="s">
        <v>212</v>
      </c>
      <c r="H14" s="28" t="s">
        <v>110</v>
      </c>
      <c r="I14" s="34" t="s">
        <v>234</v>
      </c>
      <c r="J14" s="28" t="s">
        <v>86</v>
      </c>
      <c r="K14" s="28" t="s">
        <v>50</v>
      </c>
      <c r="L14" s="28" t="s">
        <v>89</v>
      </c>
      <c r="M14" s="30" t="s">
        <v>212</v>
      </c>
      <c r="N14" s="34" t="s">
        <v>4</v>
      </c>
    </row>
    <row r="15" spans="1:14" x14ac:dyDescent="0.3">
      <c r="A15" s="17">
        <v>14</v>
      </c>
      <c r="B15" s="30" t="s">
        <v>248</v>
      </c>
      <c r="C15" s="28" t="s">
        <v>3</v>
      </c>
      <c r="D15" s="34" t="s">
        <v>10</v>
      </c>
      <c r="E15" s="34" t="s">
        <v>312</v>
      </c>
      <c r="F15" s="29" t="s">
        <v>212</v>
      </c>
      <c r="G15" s="29" t="s">
        <v>212</v>
      </c>
      <c r="H15" s="34" t="s">
        <v>8</v>
      </c>
      <c r="I15" s="34" t="s">
        <v>8</v>
      </c>
      <c r="J15" s="28" t="s">
        <v>86</v>
      </c>
      <c r="K15" s="28" t="s">
        <v>50</v>
      </c>
      <c r="L15" s="28" t="s">
        <v>89</v>
      </c>
      <c r="M15" s="30" t="s">
        <v>212</v>
      </c>
      <c r="N15" s="34" t="s">
        <v>4</v>
      </c>
    </row>
    <row r="16" spans="1:14" x14ac:dyDescent="0.3">
      <c r="A16" s="17">
        <v>15</v>
      </c>
      <c r="B16" s="30" t="s">
        <v>248</v>
      </c>
      <c r="C16" s="28" t="s">
        <v>3</v>
      </c>
      <c r="D16" s="34" t="s">
        <v>11</v>
      </c>
      <c r="E16" s="34" t="s">
        <v>313</v>
      </c>
      <c r="F16" s="29" t="s">
        <v>212</v>
      </c>
      <c r="G16" s="29" t="s">
        <v>212</v>
      </c>
      <c r="H16" s="28" t="s">
        <v>110</v>
      </c>
      <c r="I16" s="34" t="s">
        <v>234</v>
      </c>
      <c r="J16" s="28" t="s">
        <v>86</v>
      </c>
      <c r="K16" s="28" t="s">
        <v>50</v>
      </c>
      <c r="L16" s="28" t="s">
        <v>89</v>
      </c>
      <c r="M16" s="30" t="s">
        <v>212</v>
      </c>
      <c r="N16" s="34" t="s">
        <v>4</v>
      </c>
    </row>
    <row r="17" spans="1:14" x14ac:dyDescent="0.3">
      <c r="A17" s="17">
        <v>16</v>
      </c>
      <c r="B17" s="30" t="s">
        <v>248</v>
      </c>
      <c r="C17" s="28" t="s">
        <v>3</v>
      </c>
      <c r="D17" s="34" t="s">
        <v>12</v>
      </c>
      <c r="E17" s="34" t="s">
        <v>314</v>
      </c>
      <c r="F17" s="29" t="s">
        <v>212</v>
      </c>
      <c r="G17" s="29" t="s">
        <v>212</v>
      </c>
      <c r="H17" s="34" t="s">
        <v>8</v>
      </c>
      <c r="I17" s="34" t="s">
        <v>8</v>
      </c>
      <c r="J17" s="28" t="s">
        <v>86</v>
      </c>
      <c r="K17" s="28" t="s">
        <v>50</v>
      </c>
      <c r="L17" s="28" t="s">
        <v>89</v>
      </c>
      <c r="M17" s="30" t="s">
        <v>212</v>
      </c>
      <c r="N17" s="34" t="s">
        <v>13</v>
      </c>
    </row>
    <row r="18" spans="1:14" x14ac:dyDescent="0.3">
      <c r="A18" s="17">
        <v>17</v>
      </c>
      <c r="B18" s="30" t="s">
        <v>248</v>
      </c>
      <c r="C18" s="28" t="s">
        <v>3</v>
      </c>
      <c r="D18" s="34" t="s">
        <v>14</v>
      </c>
      <c r="E18" s="34" t="s">
        <v>315</v>
      </c>
      <c r="F18" s="29" t="s">
        <v>212</v>
      </c>
      <c r="G18" s="29" t="s">
        <v>212</v>
      </c>
      <c r="H18" s="34" t="s">
        <v>8</v>
      </c>
      <c r="I18" s="34" t="s">
        <v>8</v>
      </c>
      <c r="J18" s="28" t="s">
        <v>86</v>
      </c>
      <c r="K18" s="28" t="s">
        <v>50</v>
      </c>
      <c r="L18" s="28" t="s">
        <v>89</v>
      </c>
      <c r="M18" s="30" t="s">
        <v>212</v>
      </c>
      <c r="N18" s="34" t="s">
        <v>4</v>
      </c>
    </row>
    <row r="19" spans="1:14" x14ac:dyDescent="0.3">
      <c r="A19" s="17">
        <v>18</v>
      </c>
      <c r="B19" s="30" t="s">
        <v>251</v>
      </c>
      <c r="C19" s="28" t="s">
        <v>43</v>
      </c>
      <c r="D19" s="28" t="s">
        <v>45</v>
      </c>
      <c r="E19" s="28" t="s">
        <v>269</v>
      </c>
      <c r="F19" s="29">
        <v>18</v>
      </c>
      <c r="G19" s="29" t="s">
        <v>103</v>
      </c>
      <c r="H19" s="28" t="s">
        <v>110</v>
      </c>
      <c r="I19" s="34" t="s">
        <v>234</v>
      </c>
      <c r="J19" s="28" t="s">
        <v>86</v>
      </c>
      <c r="K19" s="28" t="s">
        <v>38</v>
      </c>
      <c r="L19" s="28" t="s">
        <v>89</v>
      </c>
      <c r="M19" s="30">
        <v>34.200000000000003</v>
      </c>
      <c r="N19" s="28"/>
    </row>
    <row r="20" spans="1:14" x14ac:dyDescent="0.3">
      <c r="A20" s="17">
        <v>19</v>
      </c>
      <c r="B20" s="30" t="s">
        <v>251</v>
      </c>
      <c r="C20" s="28" t="s">
        <v>43</v>
      </c>
      <c r="D20" s="28" t="s">
        <v>46</v>
      </c>
      <c r="E20" s="28" t="s">
        <v>270</v>
      </c>
      <c r="F20" s="29">
        <v>19</v>
      </c>
      <c r="G20" s="29" t="s">
        <v>104</v>
      </c>
      <c r="H20" s="28" t="s">
        <v>110</v>
      </c>
      <c r="I20" s="34" t="s">
        <v>234</v>
      </c>
      <c r="J20" s="28" t="s">
        <v>86</v>
      </c>
      <c r="K20" s="28" t="s">
        <v>38</v>
      </c>
      <c r="L20" s="28" t="s">
        <v>89</v>
      </c>
      <c r="M20" s="30">
        <v>44.6</v>
      </c>
      <c r="N20" s="28"/>
    </row>
    <row r="21" spans="1:14" x14ac:dyDescent="0.3">
      <c r="A21" s="17">
        <v>20</v>
      </c>
      <c r="B21" s="30" t="s">
        <v>251</v>
      </c>
      <c r="C21" s="28" t="s">
        <v>43</v>
      </c>
      <c r="D21" s="28" t="s">
        <v>47</v>
      </c>
      <c r="E21" s="28" t="s">
        <v>271</v>
      </c>
      <c r="F21" s="29">
        <v>34</v>
      </c>
      <c r="G21" s="29" t="s">
        <v>103</v>
      </c>
      <c r="H21" s="28" t="s">
        <v>110</v>
      </c>
      <c r="I21" s="34" t="s">
        <v>234</v>
      </c>
      <c r="J21" s="28" t="s">
        <v>86</v>
      </c>
      <c r="K21" s="28" t="s">
        <v>38</v>
      </c>
      <c r="L21" s="28" t="s">
        <v>89</v>
      </c>
      <c r="M21" s="30">
        <v>44.7</v>
      </c>
      <c r="N21" s="28"/>
    </row>
    <row r="22" spans="1:14" x14ac:dyDescent="0.3">
      <c r="A22" s="17">
        <v>21</v>
      </c>
      <c r="B22" s="30" t="s">
        <v>251</v>
      </c>
      <c r="C22" s="28" t="s">
        <v>43</v>
      </c>
      <c r="D22" s="28" t="s">
        <v>48</v>
      </c>
      <c r="E22" s="28" t="s">
        <v>272</v>
      </c>
      <c r="F22" s="29">
        <v>33</v>
      </c>
      <c r="G22" s="29" t="s">
        <v>104</v>
      </c>
      <c r="H22" s="28" t="s">
        <v>110</v>
      </c>
      <c r="I22" s="34" t="s">
        <v>234</v>
      </c>
      <c r="J22" s="28" t="s">
        <v>86</v>
      </c>
      <c r="K22" s="28" t="s">
        <v>38</v>
      </c>
      <c r="L22" s="28" t="s">
        <v>90</v>
      </c>
      <c r="M22" s="30">
        <v>5.5</v>
      </c>
      <c r="N22" s="28"/>
    </row>
    <row r="23" spans="1:14" x14ac:dyDescent="0.3">
      <c r="A23" s="17">
        <v>22</v>
      </c>
      <c r="B23" s="30" t="s">
        <v>251</v>
      </c>
      <c r="C23" s="28" t="s">
        <v>43</v>
      </c>
      <c r="D23" s="28" t="s">
        <v>49</v>
      </c>
      <c r="E23" s="28" t="s">
        <v>273</v>
      </c>
      <c r="F23" s="29">
        <v>31</v>
      </c>
      <c r="G23" s="29" t="s">
        <v>104</v>
      </c>
      <c r="H23" s="28" t="s">
        <v>110</v>
      </c>
      <c r="I23" s="34" t="s">
        <v>234</v>
      </c>
      <c r="J23" s="28" t="s">
        <v>86</v>
      </c>
      <c r="K23" s="28" t="s">
        <v>50</v>
      </c>
      <c r="L23" s="28" t="s">
        <v>90</v>
      </c>
      <c r="M23" s="30">
        <v>24.1</v>
      </c>
      <c r="N23" s="28"/>
    </row>
    <row r="24" spans="1:14" x14ac:dyDescent="0.3">
      <c r="A24" s="17">
        <v>23</v>
      </c>
      <c r="B24" s="30" t="s">
        <v>251</v>
      </c>
      <c r="C24" s="28" t="s">
        <v>43</v>
      </c>
      <c r="D24" s="28" t="s">
        <v>52</v>
      </c>
      <c r="E24" s="28" t="s">
        <v>274</v>
      </c>
      <c r="F24" s="31">
        <v>22</v>
      </c>
      <c r="G24" s="31" t="s">
        <v>103</v>
      </c>
      <c r="H24" s="28" t="s">
        <v>110</v>
      </c>
      <c r="I24" s="34" t="s">
        <v>234</v>
      </c>
      <c r="J24" s="28" t="s">
        <v>86</v>
      </c>
      <c r="K24" s="28" t="s">
        <v>50</v>
      </c>
      <c r="L24" s="28" t="s">
        <v>90</v>
      </c>
      <c r="M24" s="30">
        <v>28.1</v>
      </c>
      <c r="N24" s="28"/>
    </row>
    <row r="25" spans="1:14" x14ac:dyDescent="0.3">
      <c r="A25" s="17">
        <v>24</v>
      </c>
      <c r="B25" s="30" t="s">
        <v>251</v>
      </c>
      <c r="C25" s="28" t="s">
        <v>43</v>
      </c>
      <c r="D25" s="28" t="s">
        <v>54</v>
      </c>
      <c r="E25" s="28" t="s">
        <v>275</v>
      </c>
      <c r="F25" s="31">
        <v>24</v>
      </c>
      <c r="G25" s="31" t="s">
        <v>103</v>
      </c>
      <c r="H25" s="28" t="s">
        <v>110</v>
      </c>
      <c r="I25" s="34" t="s">
        <v>234</v>
      </c>
      <c r="J25" s="28" t="s">
        <v>86</v>
      </c>
      <c r="K25" s="28" t="s">
        <v>50</v>
      </c>
      <c r="L25" s="28" t="s">
        <v>90</v>
      </c>
      <c r="M25" s="30">
        <v>42.8</v>
      </c>
      <c r="N25" s="28"/>
    </row>
    <row r="26" spans="1:14" x14ac:dyDescent="0.3">
      <c r="A26" s="17">
        <v>25</v>
      </c>
      <c r="B26" s="30" t="s">
        <v>251</v>
      </c>
      <c r="C26" s="28" t="s">
        <v>43</v>
      </c>
      <c r="D26" s="28" t="s">
        <v>56</v>
      </c>
      <c r="E26" s="28" t="s">
        <v>276</v>
      </c>
      <c r="F26" s="31">
        <v>42</v>
      </c>
      <c r="G26" s="31" t="s">
        <v>103</v>
      </c>
      <c r="H26" s="28" t="s">
        <v>110</v>
      </c>
      <c r="I26" s="34" t="s">
        <v>234</v>
      </c>
      <c r="J26" s="28" t="s">
        <v>86</v>
      </c>
      <c r="K26" s="28" t="s">
        <v>50</v>
      </c>
      <c r="L26" s="28" t="s">
        <v>90</v>
      </c>
      <c r="M26" s="30">
        <v>46.5</v>
      </c>
      <c r="N26" s="28"/>
    </row>
    <row r="27" spans="1:14" x14ac:dyDescent="0.3">
      <c r="A27" s="17">
        <v>26</v>
      </c>
      <c r="B27" s="30" t="s">
        <v>251</v>
      </c>
      <c r="C27" s="28" t="s">
        <v>43</v>
      </c>
      <c r="D27" s="28" t="s">
        <v>58</v>
      </c>
      <c r="E27" s="28" t="s">
        <v>277</v>
      </c>
      <c r="F27" s="29">
        <v>40</v>
      </c>
      <c r="G27" s="29" t="s">
        <v>103</v>
      </c>
      <c r="H27" s="28" t="s">
        <v>8</v>
      </c>
      <c r="I27" s="28" t="s">
        <v>8</v>
      </c>
      <c r="J27" s="28" t="s">
        <v>86</v>
      </c>
      <c r="K27" s="28" t="s">
        <v>38</v>
      </c>
      <c r="L27" s="28" t="s">
        <v>89</v>
      </c>
      <c r="M27" s="30" t="s">
        <v>212</v>
      </c>
      <c r="N27" s="28"/>
    </row>
    <row r="28" spans="1:14" x14ac:dyDescent="0.3">
      <c r="A28" s="17">
        <v>27</v>
      </c>
      <c r="B28" s="30" t="s">
        <v>251</v>
      </c>
      <c r="C28" s="28" t="s">
        <v>43</v>
      </c>
      <c r="D28" s="28" t="s">
        <v>61</v>
      </c>
      <c r="E28" s="28" t="s">
        <v>278</v>
      </c>
      <c r="F28" s="29">
        <v>42</v>
      </c>
      <c r="G28" s="29" t="s">
        <v>104</v>
      </c>
      <c r="H28" s="28" t="s">
        <v>8</v>
      </c>
      <c r="I28" s="28" t="s">
        <v>8</v>
      </c>
      <c r="J28" s="28" t="s">
        <v>86</v>
      </c>
      <c r="K28" s="28" t="s">
        <v>38</v>
      </c>
      <c r="L28" s="28" t="s">
        <v>89</v>
      </c>
      <c r="M28" s="30" t="s">
        <v>212</v>
      </c>
      <c r="N28" s="28"/>
    </row>
    <row r="29" spans="1:14" x14ac:dyDescent="0.3">
      <c r="A29" s="17">
        <v>28</v>
      </c>
      <c r="B29" s="30" t="s">
        <v>251</v>
      </c>
      <c r="C29" s="28" t="s">
        <v>43</v>
      </c>
      <c r="D29" s="28" t="s">
        <v>63</v>
      </c>
      <c r="E29" s="28" t="s">
        <v>279</v>
      </c>
      <c r="F29" s="29">
        <v>47</v>
      </c>
      <c r="G29" s="29" t="s">
        <v>104</v>
      </c>
      <c r="H29" s="28" t="s">
        <v>8</v>
      </c>
      <c r="I29" s="28" t="s">
        <v>8</v>
      </c>
      <c r="J29" s="28" t="s">
        <v>86</v>
      </c>
      <c r="K29" s="28" t="s">
        <v>38</v>
      </c>
      <c r="L29" s="28" t="s">
        <v>89</v>
      </c>
      <c r="M29" s="30" t="s">
        <v>212</v>
      </c>
      <c r="N29" s="28"/>
    </row>
    <row r="30" spans="1:14" x14ac:dyDescent="0.3">
      <c r="A30" s="17">
        <v>29</v>
      </c>
      <c r="B30" s="30" t="s">
        <v>251</v>
      </c>
      <c r="C30" s="28" t="s">
        <v>43</v>
      </c>
      <c r="D30" s="28" t="s">
        <v>65</v>
      </c>
      <c r="E30" s="28" t="s">
        <v>280</v>
      </c>
      <c r="F30" s="29">
        <v>49</v>
      </c>
      <c r="G30" s="29" t="s">
        <v>104</v>
      </c>
      <c r="H30" s="28" t="s">
        <v>8</v>
      </c>
      <c r="I30" s="28" t="s">
        <v>8</v>
      </c>
      <c r="J30" s="28" t="s">
        <v>86</v>
      </c>
      <c r="K30" s="28" t="s">
        <v>38</v>
      </c>
      <c r="L30" s="28" t="s">
        <v>89</v>
      </c>
      <c r="M30" s="30" t="s">
        <v>212</v>
      </c>
      <c r="N30" s="28"/>
    </row>
    <row r="31" spans="1:14" x14ac:dyDescent="0.3">
      <c r="A31" s="17">
        <v>30</v>
      </c>
      <c r="B31" s="30" t="s">
        <v>251</v>
      </c>
      <c r="C31" s="28" t="s">
        <v>43</v>
      </c>
      <c r="D31" s="28" t="s">
        <v>67</v>
      </c>
      <c r="E31" s="28" t="s">
        <v>281</v>
      </c>
      <c r="F31" s="29">
        <v>39</v>
      </c>
      <c r="G31" s="29" t="s">
        <v>103</v>
      </c>
      <c r="H31" s="28" t="s">
        <v>8</v>
      </c>
      <c r="I31" s="28" t="s">
        <v>8</v>
      </c>
      <c r="J31" s="28" t="s">
        <v>86</v>
      </c>
      <c r="K31" s="28" t="s">
        <v>38</v>
      </c>
      <c r="L31" s="28" t="s">
        <v>90</v>
      </c>
      <c r="M31" s="30" t="s">
        <v>212</v>
      </c>
      <c r="N31" s="28"/>
    </row>
    <row r="32" spans="1:14" x14ac:dyDescent="0.3">
      <c r="A32" s="17">
        <v>31</v>
      </c>
      <c r="B32" s="30" t="s">
        <v>251</v>
      </c>
      <c r="C32" s="28" t="s">
        <v>43</v>
      </c>
      <c r="D32" s="28" t="s">
        <v>69</v>
      </c>
      <c r="E32" s="28" t="s">
        <v>282</v>
      </c>
      <c r="F32" s="31">
        <v>27</v>
      </c>
      <c r="G32" s="31" t="s">
        <v>104</v>
      </c>
      <c r="H32" s="28" t="s">
        <v>8</v>
      </c>
      <c r="I32" s="28" t="s">
        <v>8</v>
      </c>
      <c r="J32" s="28" t="s">
        <v>86</v>
      </c>
      <c r="K32" s="28" t="s">
        <v>50</v>
      </c>
      <c r="L32" s="28" t="s">
        <v>90</v>
      </c>
      <c r="M32" s="30" t="s">
        <v>212</v>
      </c>
      <c r="N32" s="28"/>
    </row>
    <row r="33" spans="1:14" x14ac:dyDescent="0.3">
      <c r="A33" s="17">
        <v>32</v>
      </c>
      <c r="B33" s="30" t="s">
        <v>251</v>
      </c>
      <c r="C33" s="28" t="s">
        <v>43</v>
      </c>
      <c r="D33" s="28" t="s">
        <v>71</v>
      </c>
      <c r="E33" s="28" t="s">
        <v>283</v>
      </c>
      <c r="F33" s="31">
        <v>42</v>
      </c>
      <c r="G33" s="31" t="s">
        <v>104</v>
      </c>
      <c r="H33" s="28" t="s">
        <v>8</v>
      </c>
      <c r="I33" s="28" t="s">
        <v>8</v>
      </c>
      <c r="J33" s="28" t="s">
        <v>86</v>
      </c>
      <c r="K33" s="28" t="s">
        <v>50</v>
      </c>
      <c r="L33" s="28" t="s">
        <v>90</v>
      </c>
      <c r="M33" s="30" t="s">
        <v>212</v>
      </c>
      <c r="N33" s="28"/>
    </row>
    <row r="34" spans="1:14" x14ac:dyDescent="0.3">
      <c r="A34" s="17">
        <v>33</v>
      </c>
      <c r="B34" s="30" t="s">
        <v>250</v>
      </c>
      <c r="C34" s="28" t="s">
        <v>35</v>
      </c>
      <c r="D34" s="28" t="s">
        <v>36</v>
      </c>
      <c r="E34" s="28" t="s">
        <v>284</v>
      </c>
      <c r="F34" s="29">
        <v>22</v>
      </c>
      <c r="G34" s="29" t="s">
        <v>103</v>
      </c>
      <c r="H34" s="28" t="s">
        <v>327</v>
      </c>
      <c r="I34" s="28" t="s">
        <v>328</v>
      </c>
      <c r="J34" s="28" t="s">
        <v>86</v>
      </c>
      <c r="K34" s="28" t="s">
        <v>38</v>
      </c>
      <c r="L34" s="28" t="s">
        <v>90</v>
      </c>
      <c r="M34" s="30" t="s">
        <v>212</v>
      </c>
      <c r="N34" s="28" t="s">
        <v>37</v>
      </c>
    </row>
    <row r="35" spans="1:14" x14ac:dyDescent="0.3">
      <c r="A35" s="17">
        <v>34</v>
      </c>
      <c r="B35" s="30" t="s">
        <v>250</v>
      </c>
      <c r="C35" s="28" t="s">
        <v>35</v>
      </c>
      <c r="D35" s="28" t="s">
        <v>39</v>
      </c>
      <c r="E35" s="28" t="s">
        <v>285</v>
      </c>
      <c r="F35" s="29">
        <v>45</v>
      </c>
      <c r="G35" s="29" t="s">
        <v>104</v>
      </c>
      <c r="H35" s="28" t="s">
        <v>327</v>
      </c>
      <c r="I35" s="28" t="s">
        <v>328</v>
      </c>
      <c r="J35" s="28" t="s">
        <v>86</v>
      </c>
      <c r="K35" s="28" t="s">
        <v>38</v>
      </c>
      <c r="L35" s="28" t="s">
        <v>90</v>
      </c>
      <c r="M35" s="30" t="s">
        <v>212</v>
      </c>
      <c r="N35" s="28" t="s">
        <v>40</v>
      </c>
    </row>
    <row r="36" spans="1:14" x14ac:dyDescent="0.3">
      <c r="A36" s="17">
        <v>35</v>
      </c>
      <c r="B36" s="30" t="s">
        <v>250</v>
      </c>
      <c r="C36" s="28" t="s">
        <v>35</v>
      </c>
      <c r="D36" s="28" t="s">
        <v>41</v>
      </c>
      <c r="E36" s="28" t="s">
        <v>286</v>
      </c>
      <c r="F36" s="29">
        <v>41</v>
      </c>
      <c r="G36" s="29" t="s">
        <v>103</v>
      </c>
      <c r="H36" s="28" t="s">
        <v>327</v>
      </c>
      <c r="I36" s="28" t="s">
        <v>328</v>
      </c>
      <c r="J36" s="28" t="s">
        <v>86</v>
      </c>
      <c r="K36" s="28" t="s">
        <v>38</v>
      </c>
      <c r="L36" s="28" t="s">
        <v>90</v>
      </c>
      <c r="M36" s="30" t="s">
        <v>212</v>
      </c>
      <c r="N36" s="28" t="s">
        <v>37</v>
      </c>
    </row>
    <row r="37" spans="1:14" x14ac:dyDescent="0.3">
      <c r="A37" s="17">
        <v>36</v>
      </c>
      <c r="B37" s="30" t="s">
        <v>250</v>
      </c>
      <c r="C37" s="28" t="s">
        <v>35</v>
      </c>
      <c r="D37" s="28" t="s">
        <v>42</v>
      </c>
      <c r="E37" s="28" t="s">
        <v>287</v>
      </c>
      <c r="F37" s="29">
        <v>41</v>
      </c>
      <c r="G37" s="29" t="s">
        <v>104</v>
      </c>
      <c r="H37" s="28" t="s">
        <v>327</v>
      </c>
      <c r="I37" s="28" t="s">
        <v>328</v>
      </c>
      <c r="J37" s="28" t="s">
        <v>86</v>
      </c>
      <c r="K37" s="28" t="s">
        <v>38</v>
      </c>
      <c r="L37" s="28" t="s">
        <v>90</v>
      </c>
      <c r="M37" s="30" t="s">
        <v>212</v>
      </c>
      <c r="N37" s="28" t="s">
        <v>40</v>
      </c>
    </row>
    <row r="38" spans="1:14" x14ac:dyDescent="0.3">
      <c r="A38" s="17">
        <v>37</v>
      </c>
      <c r="B38" s="30" t="s">
        <v>252</v>
      </c>
      <c r="C38" s="28" t="s">
        <v>72</v>
      </c>
      <c r="D38" s="28" t="s">
        <v>73</v>
      </c>
      <c r="E38" s="28" t="s">
        <v>288</v>
      </c>
      <c r="F38" s="29">
        <v>35</v>
      </c>
      <c r="G38" s="29" t="s">
        <v>103</v>
      </c>
      <c r="H38" s="28" t="s">
        <v>326</v>
      </c>
      <c r="I38" s="28" t="s">
        <v>325</v>
      </c>
      <c r="J38" s="28" t="s">
        <v>75</v>
      </c>
      <c r="K38" s="28" t="s">
        <v>74</v>
      </c>
      <c r="L38" s="28" t="s">
        <v>90</v>
      </c>
      <c r="M38" s="30">
        <v>15.9</v>
      </c>
      <c r="N38" s="28" t="s">
        <v>97</v>
      </c>
    </row>
    <row r="39" spans="1:14" x14ac:dyDescent="0.3">
      <c r="A39" s="17">
        <v>38</v>
      </c>
      <c r="B39" s="30" t="s">
        <v>252</v>
      </c>
      <c r="C39" s="28" t="s">
        <v>72</v>
      </c>
      <c r="D39" s="28" t="s">
        <v>76</v>
      </c>
      <c r="E39" s="28" t="s">
        <v>289</v>
      </c>
      <c r="F39" s="29">
        <v>19</v>
      </c>
      <c r="G39" s="29" t="s">
        <v>103</v>
      </c>
      <c r="H39" s="28" t="s">
        <v>326</v>
      </c>
      <c r="I39" s="28" t="s">
        <v>325</v>
      </c>
      <c r="J39" s="28" t="s">
        <v>75</v>
      </c>
      <c r="K39" s="28" t="s">
        <v>74</v>
      </c>
      <c r="L39" s="28" t="s">
        <v>90</v>
      </c>
      <c r="M39" s="30">
        <v>10.1</v>
      </c>
      <c r="N39" s="28" t="s">
        <v>98</v>
      </c>
    </row>
    <row r="40" spans="1:14" x14ac:dyDescent="0.3">
      <c r="A40" s="17">
        <v>39</v>
      </c>
      <c r="B40" s="30" t="s">
        <v>252</v>
      </c>
      <c r="C40" s="28" t="s">
        <v>72</v>
      </c>
      <c r="D40" s="28" t="s">
        <v>77</v>
      </c>
      <c r="E40" s="28" t="s">
        <v>290</v>
      </c>
      <c r="F40" s="29">
        <v>19</v>
      </c>
      <c r="G40" s="29" t="s">
        <v>104</v>
      </c>
      <c r="H40" s="28" t="s">
        <v>326</v>
      </c>
      <c r="I40" s="28" t="s">
        <v>325</v>
      </c>
      <c r="J40" s="28" t="s">
        <v>75</v>
      </c>
      <c r="K40" s="28" t="s">
        <v>74</v>
      </c>
      <c r="L40" s="28" t="s">
        <v>90</v>
      </c>
      <c r="M40" s="30">
        <v>2.4</v>
      </c>
      <c r="N40" s="28" t="s">
        <v>99</v>
      </c>
    </row>
    <row r="41" spans="1:14" x14ac:dyDescent="0.3">
      <c r="A41" s="17">
        <v>40</v>
      </c>
      <c r="B41" s="30" t="s">
        <v>252</v>
      </c>
      <c r="C41" s="28" t="s">
        <v>72</v>
      </c>
      <c r="D41" s="28" t="s">
        <v>78</v>
      </c>
      <c r="E41" s="28" t="s">
        <v>291</v>
      </c>
      <c r="F41" s="29">
        <v>45</v>
      </c>
      <c r="G41" s="29" t="s">
        <v>104</v>
      </c>
      <c r="H41" s="28" t="s">
        <v>110</v>
      </c>
      <c r="I41" s="28" t="s">
        <v>234</v>
      </c>
      <c r="J41" s="28" t="s">
        <v>86</v>
      </c>
      <c r="K41" s="28" t="s">
        <v>74</v>
      </c>
      <c r="L41" s="28" t="s">
        <v>90</v>
      </c>
      <c r="M41" s="30">
        <v>27.4</v>
      </c>
      <c r="N41" s="28" t="s">
        <v>323</v>
      </c>
    </row>
    <row r="42" spans="1:14" x14ac:dyDescent="0.3">
      <c r="A42" s="17">
        <v>41</v>
      </c>
      <c r="B42" s="30" t="s">
        <v>252</v>
      </c>
      <c r="C42" s="28" t="s">
        <v>72</v>
      </c>
      <c r="D42" s="28" t="s">
        <v>79</v>
      </c>
      <c r="E42" s="28" t="s">
        <v>292</v>
      </c>
      <c r="F42" s="29">
        <v>60</v>
      </c>
      <c r="G42" s="29" t="s">
        <v>104</v>
      </c>
      <c r="H42" s="28" t="s">
        <v>326</v>
      </c>
      <c r="I42" s="28" t="s">
        <v>324</v>
      </c>
      <c r="J42" s="28" t="s">
        <v>80</v>
      </c>
      <c r="K42" s="28" t="s">
        <v>74</v>
      </c>
      <c r="L42" s="28" t="s">
        <v>90</v>
      </c>
      <c r="M42" s="30">
        <v>3.2</v>
      </c>
      <c r="N42" s="28" t="s">
        <v>91</v>
      </c>
    </row>
    <row r="43" spans="1:14" x14ac:dyDescent="0.3">
      <c r="A43" s="17">
        <v>42</v>
      </c>
      <c r="B43" s="30" t="s">
        <v>252</v>
      </c>
      <c r="C43" s="28" t="s">
        <v>72</v>
      </c>
      <c r="D43" s="28" t="s">
        <v>81</v>
      </c>
      <c r="E43" s="28" t="s">
        <v>293</v>
      </c>
      <c r="F43" s="29">
        <v>28</v>
      </c>
      <c r="G43" s="29" t="s">
        <v>104</v>
      </c>
      <c r="H43" s="28" t="s">
        <v>326</v>
      </c>
      <c r="I43" s="28" t="s">
        <v>324</v>
      </c>
      <c r="J43" s="28" t="s">
        <v>80</v>
      </c>
      <c r="K43" s="28" t="s">
        <v>74</v>
      </c>
      <c r="L43" s="28" t="s">
        <v>90</v>
      </c>
      <c r="M43" s="30">
        <v>2.6</v>
      </c>
      <c r="N43" s="28" t="s">
        <v>92</v>
      </c>
    </row>
    <row r="44" spans="1:14" x14ac:dyDescent="0.3">
      <c r="A44" s="17">
        <v>43</v>
      </c>
      <c r="B44" s="30" t="s">
        <v>252</v>
      </c>
      <c r="C44" s="28" t="s">
        <v>72</v>
      </c>
      <c r="D44" s="28" t="s">
        <v>82</v>
      </c>
      <c r="E44" s="28" t="s">
        <v>294</v>
      </c>
      <c r="F44" s="29">
        <v>41</v>
      </c>
      <c r="G44" s="29" t="s">
        <v>103</v>
      </c>
      <c r="H44" s="28" t="s">
        <v>326</v>
      </c>
      <c r="I44" s="28" t="s">
        <v>324</v>
      </c>
      <c r="J44" s="28" t="s">
        <v>80</v>
      </c>
      <c r="K44" s="28" t="s">
        <v>74</v>
      </c>
      <c r="L44" s="28" t="s">
        <v>90</v>
      </c>
      <c r="M44" s="30">
        <v>1.1000000000000001</v>
      </c>
      <c r="N44" s="28" t="s">
        <v>94</v>
      </c>
    </row>
    <row r="45" spans="1:14" x14ac:dyDescent="0.3">
      <c r="A45" s="17">
        <v>44</v>
      </c>
      <c r="B45" s="30" t="s">
        <v>252</v>
      </c>
      <c r="C45" s="28" t="s">
        <v>72</v>
      </c>
      <c r="D45" s="28" t="s">
        <v>83</v>
      </c>
      <c r="E45" s="28" t="s">
        <v>295</v>
      </c>
      <c r="F45" s="29">
        <v>41</v>
      </c>
      <c r="G45" s="29" t="s">
        <v>103</v>
      </c>
      <c r="H45" s="28" t="s">
        <v>326</v>
      </c>
      <c r="I45" s="28" t="s">
        <v>325</v>
      </c>
      <c r="J45" s="28" t="s">
        <v>75</v>
      </c>
      <c r="K45" s="28" t="s">
        <v>74</v>
      </c>
      <c r="L45" s="28" t="s">
        <v>90</v>
      </c>
      <c r="M45" s="30">
        <v>9</v>
      </c>
      <c r="N45" s="28" t="s">
        <v>93</v>
      </c>
    </row>
    <row r="46" spans="1:14" x14ac:dyDescent="0.3">
      <c r="A46" s="17">
        <v>45</v>
      </c>
      <c r="B46" s="30" t="s">
        <v>252</v>
      </c>
      <c r="C46" s="28" t="s">
        <v>72</v>
      </c>
      <c r="D46" s="28" t="s">
        <v>84</v>
      </c>
      <c r="E46" s="28" t="s">
        <v>296</v>
      </c>
      <c r="F46" s="29">
        <v>45</v>
      </c>
      <c r="G46" s="29" t="s">
        <v>104</v>
      </c>
      <c r="H46" s="28" t="s">
        <v>326</v>
      </c>
      <c r="I46" s="28" t="s">
        <v>325</v>
      </c>
      <c r="J46" s="28" t="s">
        <v>75</v>
      </c>
      <c r="K46" s="28" t="s">
        <v>74</v>
      </c>
      <c r="L46" s="28" t="s">
        <v>90</v>
      </c>
      <c r="M46" s="30">
        <v>5.4</v>
      </c>
      <c r="N46" s="28" t="s">
        <v>96</v>
      </c>
    </row>
    <row r="47" spans="1:14" x14ac:dyDescent="0.3">
      <c r="A47" s="17">
        <v>46</v>
      </c>
      <c r="B47" s="30" t="s">
        <v>252</v>
      </c>
      <c r="C47" s="28" t="s">
        <v>72</v>
      </c>
      <c r="D47" s="28" t="s">
        <v>85</v>
      </c>
      <c r="E47" s="28" t="s">
        <v>297</v>
      </c>
      <c r="F47" s="29">
        <v>46</v>
      </c>
      <c r="G47" s="29" t="s">
        <v>103</v>
      </c>
      <c r="H47" s="28" t="s">
        <v>326</v>
      </c>
      <c r="I47" s="28" t="s">
        <v>324</v>
      </c>
      <c r="J47" s="28" t="s">
        <v>80</v>
      </c>
      <c r="K47" s="28" t="s">
        <v>74</v>
      </c>
      <c r="L47" s="28" t="s">
        <v>90</v>
      </c>
      <c r="M47" s="30">
        <v>11.2</v>
      </c>
      <c r="N47" s="28" t="s">
        <v>95</v>
      </c>
    </row>
    <row r="48" spans="1:14" x14ac:dyDescent="0.3">
      <c r="A48" s="17">
        <v>47</v>
      </c>
      <c r="B48" s="30" t="s">
        <v>249</v>
      </c>
      <c r="C48" s="28" t="s">
        <v>23</v>
      </c>
      <c r="D48" s="28" t="s">
        <v>28</v>
      </c>
      <c r="E48" s="28" t="s">
        <v>261</v>
      </c>
      <c r="F48" s="32">
        <v>22</v>
      </c>
      <c r="G48" s="32" t="s">
        <v>103</v>
      </c>
      <c r="H48" s="28" t="s">
        <v>110</v>
      </c>
      <c r="I48" s="34" t="s">
        <v>234</v>
      </c>
      <c r="J48" s="28" t="s">
        <v>86</v>
      </c>
      <c r="K48" s="28" t="s">
        <v>50</v>
      </c>
      <c r="L48" s="28" t="s">
        <v>90</v>
      </c>
      <c r="M48" s="33">
        <v>28.1</v>
      </c>
      <c r="N48" s="28" t="s">
        <v>316</v>
      </c>
    </row>
    <row r="49" spans="1:14" x14ac:dyDescent="0.3">
      <c r="A49" s="17">
        <v>48</v>
      </c>
      <c r="B49" s="30" t="s">
        <v>249</v>
      </c>
      <c r="C49" s="28" t="s">
        <v>23</v>
      </c>
      <c r="D49" s="28" t="s">
        <v>30</v>
      </c>
      <c r="E49" s="28" t="s">
        <v>262</v>
      </c>
      <c r="F49" s="32">
        <v>26</v>
      </c>
      <c r="G49" s="32" t="s">
        <v>103</v>
      </c>
      <c r="H49" s="28" t="s">
        <v>110</v>
      </c>
      <c r="I49" s="34" t="s">
        <v>234</v>
      </c>
      <c r="J49" s="28" t="s">
        <v>86</v>
      </c>
      <c r="K49" s="28" t="s">
        <v>50</v>
      </c>
      <c r="L49" s="28" t="s">
        <v>90</v>
      </c>
      <c r="M49" s="33">
        <v>58.4</v>
      </c>
      <c r="N49" s="28"/>
    </row>
    <row r="50" spans="1:14" x14ac:dyDescent="0.3">
      <c r="A50" s="17">
        <v>49</v>
      </c>
      <c r="B50" s="30" t="s">
        <v>249</v>
      </c>
      <c r="C50" s="28" t="s">
        <v>23</v>
      </c>
      <c r="D50" s="28" t="s">
        <v>32</v>
      </c>
      <c r="E50" s="28" t="s">
        <v>263</v>
      </c>
      <c r="F50" s="32">
        <v>42</v>
      </c>
      <c r="G50" s="32" t="s">
        <v>103</v>
      </c>
      <c r="H50" s="28" t="s">
        <v>110</v>
      </c>
      <c r="I50" s="34" t="s">
        <v>234</v>
      </c>
      <c r="J50" s="28" t="s">
        <v>86</v>
      </c>
      <c r="K50" s="28" t="s">
        <v>50</v>
      </c>
      <c r="L50" s="28" t="s">
        <v>90</v>
      </c>
      <c r="M50" s="33">
        <v>46</v>
      </c>
      <c r="N50" s="28"/>
    </row>
    <row r="51" spans="1:14" x14ac:dyDescent="0.3">
      <c r="A51" s="17">
        <v>50</v>
      </c>
      <c r="B51" s="30" t="s">
        <v>249</v>
      </c>
      <c r="C51" s="28" t="s">
        <v>23</v>
      </c>
      <c r="D51" s="28" t="s">
        <v>34</v>
      </c>
      <c r="E51" s="28" t="s">
        <v>264</v>
      </c>
      <c r="F51" s="32">
        <v>24</v>
      </c>
      <c r="G51" s="29" t="s">
        <v>104</v>
      </c>
      <c r="H51" s="28" t="s">
        <v>110</v>
      </c>
      <c r="I51" s="34" t="s">
        <v>234</v>
      </c>
      <c r="J51" s="28" t="s">
        <v>86</v>
      </c>
      <c r="K51" s="28" t="s">
        <v>50</v>
      </c>
      <c r="L51" s="28" t="s">
        <v>90</v>
      </c>
      <c r="M51" s="33">
        <v>28.1</v>
      </c>
      <c r="N51" s="28"/>
    </row>
    <row r="52" spans="1:14" x14ac:dyDescent="0.3">
      <c r="A52" s="17">
        <v>51</v>
      </c>
      <c r="B52" s="30" t="s">
        <v>249</v>
      </c>
      <c r="C52" s="28" t="s">
        <v>23</v>
      </c>
      <c r="D52" s="28" t="s">
        <v>24</v>
      </c>
      <c r="E52" s="28" t="s">
        <v>265</v>
      </c>
      <c r="F52" s="29">
        <v>25</v>
      </c>
      <c r="G52" s="29" t="s">
        <v>104</v>
      </c>
      <c r="H52" s="28" t="s">
        <v>8</v>
      </c>
      <c r="I52" s="28" t="s">
        <v>8</v>
      </c>
      <c r="J52" s="28" t="s">
        <v>86</v>
      </c>
      <c r="K52" s="28" t="s">
        <v>50</v>
      </c>
      <c r="L52" s="28" t="s">
        <v>89</v>
      </c>
      <c r="M52" s="30" t="s">
        <v>212</v>
      </c>
      <c r="N52" s="28"/>
    </row>
    <row r="53" spans="1:14" x14ac:dyDescent="0.3">
      <c r="A53" s="17">
        <v>52</v>
      </c>
      <c r="B53" s="30" t="s">
        <v>249</v>
      </c>
      <c r="C53" s="28" t="s">
        <v>23</v>
      </c>
      <c r="D53" s="28" t="s">
        <v>25</v>
      </c>
      <c r="E53" s="28" t="s">
        <v>266</v>
      </c>
      <c r="F53" s="29">
        <v>24</v>
      </c>
      <c r="G53" s="29" t="s">
        <v>103</v>
      </c>
      <c r="H53" s="28" t="s">
        <v>8</v>
      </c>
      <c r="I53" s="28" t="s">
        <v>8</v>
      </c>
      <c r="J53" s="28" t="s">
        <v>86</v>
      </c>
      <c r="K53" s="28" t="s">
        <v>50</v>
      </c>
      <c r="L53" s="28" t="s">
        <v>89</v>
      </c>
      <c r="M53" s="30" t="s">
        <v>212</v>
      </c>
      <c r="N53" s="28"/>
    </row>
    <row r="54" spans="1:14" x14ac:dyDescent="0.3">
      <c r="A54" s="17">
        <v>53</v>
      </c>
      <c r="B54" s="30" t="s">
        <v>249</v>
      </c>
      <c r="C54" s="28" t="s">
        <v>23</v>
      </c>
      <c r="D54" s="28" t="s">
        <v>26</v>
      </c>
      <c r="E54" s="28" t="s">
        <v>267</v>
      </c>
      <c r="F54" s="29">
        <v>37</v>
      </c>
      <c r="G54" s="29" t="s">
        <v>103</v>
      </c>
      <c r="H54" s="28" t="s">
        <v>8</v>
      </c>
      <c r="I54" s="28" t="s">
        <v>8</v>
      </c>
      <c r="J54" s="28" t="s">
        <v>86</v>
      </c>
      <c r="K54" s="28" t="s">
        <v>50</v>
      </c>
      <c r="L54" s="28" t="s">
        <v>89</v>
      </c>
      <c r="M54" s="30" t="s">
        <v>212</v>
      </c>
      <c r="N54" s="28"/>
    </row>
  </sheetData>
  <sortState xmlns:xlrd2="http://schemas.microsoft.com/office/spreadsheetml/2017/richdata2" ref="A2:N54">
    <sortCondition ref="A1:A54"/>
  </sortState>
  <phoneticPr fontId="11" type="noConversion"/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E3B00C-19EB-F244-AB81-0213FAFEC4B4}">
  <dimension ref="A1"/>
  <sheetViews>
    <sheetView workbookViewId="0">
      <selection activeCell="C13" sqref="C13"/>
    </sheetView>
  </sheetViews>
  <sheetFormatPr defaultColWidth="11.5546875" defaultRowHeight="14.4" x14ac:dyDescent="0.3"/>
  <sheetData>
    <row r="1" spans="1:1" x14ac:dyDescent="0.3">
      <c r="A1" t="s">
        <v>317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2E614A-514A-114E-8972-B06F30BD00D9}">
  <dimension ref="A1:K24"/>
  <sheetViews>
    <sheetView zoomScale="125" zoomScaleNormal="125" workbookViewId="0">
      <selection activeCell="K1" sqref="K1"/>
    </sheetView>
  </sheetViews>
  <sheetFormatPr defaultColWidth="10.77734375" defaultRowHeight="14.4" x14ac:dyDescent="0.3"/>
  <cols>
    <col min="1" max="1" width="9.109375" style="2" customWidth="1"/>
    <col min="2" max="2" width="4.77734375" style="2" customWidth="1"/>
    <col min="3" max="3" width="7.44140625" style="2" customWidth="1"/>
    <col min="4" max="4" width="9.44140625" style="2" customWidth="1"/>
    <col min="5" max="5" width="5.77734375" style="3" customWidth="1"/>
    <col min="6" max="6" width="8.77734375" style="2" customWidth="1"/>
    <col min="7" max="7" width="6" style="2" customWidth="1"/>
    <col min="8" max="8" width="9" style="2" customWidth="1"/>
    <col min="9" max="9" width="12.109375" style="2" customWidth="1"/>
    <col min="10" max="16384" width="10.77734375" style="2"/>
  </cols>
  <sheetData>
    <row r="1" spans="1:11" s="8" customFormat="1" x14ac:dyDescent="0.3">
      <c r="A1" s="9" t="s">
        <v>119</v>
      </c>
      <c r="B1" s="9" t="s">
        <v>118</v>
      </c>
      <c r="C1" s="9" t="s">
        <v>117</v>
      </c>
      <c r="D1" s="9" t="s">
        <v>116</v>
      </c>
      <c r="E1" s="9" t="s">
        <v>115</v>
      </c>
      <c r="F1" s="9" t="s">
        <v>114</v>
      </c>
      <c r="G1" s="9" t="s">
        <v>113</v>
      </c>
      <c r="H1" s="9" t="s">
        <v>112</v>
      </c>
      <c r="I1" s="9" t="s">
        <v>111</v>
      </c>
      <c r="K1" s="25" t="s">
        <v>268</v>
      </c>
    </row>
    <row r="2" spans="1:11" x14ac:dyDescent="0.3">
      <c r="A2" s="4">
        <v>1</v>
      </c>
      <c r="B2" s="4">
        <v>32</v>
      </c>
      <c r="C2" s="4" t="s">
        <v>103</v>
      </c>
      <c r="D2" s="4" t="s">
        <v>107</v>
      </c>
      <c r="E2" s="4">
        <v>33.6</v>
      </c>
      <c r="F2" s="4" t="s">
        <v>110</v>
      </c>
      <c r="G2" s="4" t="s">
        <v>109</v>
      </c>
      <c r="H2" s="4"/>
      <c r="I2" s="4" t="s">
        <v>108</v>
      </c>
    </row>
    <row r="3" spans="1:11" x14ac:dyDescent="0.3">
      <c r="A3" s="4">
        <v>2</v>
      </c>
      <c r="B3" s="4">
        <v>30</v>
      </c>
      <c r="C3" s="4" t="s">
        <v>104</v>
      </c>
      <c r="D3" s="4" t="s">
        <v>107</v>
      </c>
      <c r="E3" s="4">
        <v>24.1</v>
      </c>
      <c r="F3" s="4" t="s">
        <v>110</v>
      </c>
      <c r="G3" s="4" t="s">
        <v>109</v>
      </c>
      <c r="H3" s="4"/>
      <c r="I3" s="4" t="s">
        <v>108</v>
      </c>
    </row>
    <row r="4" spans="1:11" x14ac:dyDescent="0.3">
      <c r="A4" s="4">
        <v>3</v>
      </c>
      <c r="B4" s="4">
        <v>31</v>
      </c>
      <c r="C4" s="4" t="s">
        <v>103</v>
      </c>
      <c r="D4" s="4" t="s">
        <v>107</v>
      </c>
      <c r="E4" s="4">
        <v>24.4</v>
      </c>
      <c r="F4" s="4" t="s">
        <v>110</v>
      </c>
      <c r="G4" s="4" t="s">
        <v>109</v>
      </c>
      <c r="H4" s="4"/>
      <c r="I4" s="4" t="s">
        <v>108</v>
      </c>
    </row>
    <row r="5" spans="1:11" x14ac:dyDescent="0.3">
      <c r="A5" s="4">
        <v>4</v>
      </c>
      <c r="B5" s="4">
        <v>19</v>
      </c>
      <c r="C5" s="4" t="s">
        <v>103</v>
      </c>
      <c r="D5" s="4" t="s">
        <v>107</v>
      </c>
      <c r="E5" s="4">
        <v>5</v>
      </c>
      <c r="F5" s="4" t="s">
        <v>110</v>
      </c>
      <c r="G5" s="4" t="s">
        <v>109</v>
      </c>
      <c r="H5" s="4"/>
      <c r="I5" s="4" t="s">
        <v>108</v>
      </c>
    </row>
    <row r="6" spans="1:11" x14ac:dyDescent="0.3">
      <c r="A6" s="4">
        <v>5</v>
      </c>
      <c r="B6" s="4">
        <v>49</v>
      </c>
      <c r="C6" s="4" t="s">
        <v>104</v>
      </c>
      <c r="D6" s="4" t="s">
        <v>107</v>
      </c>
      <c r="E6" s="4">
        <v>20</v>
      </c>
      <c r="F6" s="4" t="s">
        <v>110</v>
      </c>
      <c r="G6" s="4" t="s">
        <v>109</v>
      </c>
      <c r="H6" s="4"/>
      <c r="I6" s="4" t="s">
        <v>108</v>
      </c>
    </row>
    <row r="7" spans="1:11" x14ac:dyDescent="0.3">
      <c r="A7" s="4">
        <v>6</v>
      </c>
      <c r="B7" s="5">
        <v>28</v>
      </c>
      <c r="C7" s="5" t="s">
        <v>104</v>
      </c>
      <c r="D7" s="4" t="s">
        <v>107</v>
      </c>
      <c r="E7" s="4" t="s">
        <v>59</v>
      </c>
      <c r="F7" s="5" t="s">
        <v>106</v>
      </c>
      <c r="G7" s="5" t="s">
        <v>109</v>
      </c>
      <c r="H7" s="5"/>
      <c r="I7" s="6" t="s">
        <v>108</v>
      </c>
    </row>
    <row r="8" spans="1:11" x14ac:dyDescent="0.3">
      <c r="A8" s="4">
        <v>7</v>
      </c>
      <c r="B8" s="5">
        <v>40</v>
      </c>
      <c r="C8" s="5" t="s">
        <v>103</v>
      </c>
      <c r="D8" s="4" t="s">
        <v>107</v>
      </c>
      <c r="E8" s="4" t="s">
        <v>59</v>
      </c>
      <c r="F8" s="5" t="s">
        <v>106</v>
      </c>
      <c r="G8" s="5" t="s">
        <v>109</v>
      </c>
      <c r="H8" s="5"/>
      <c r="I8" s="6" t="s">
        <v>108</v>
      </c>
    </row>
    <row r="9" spans="1:11" x14ac:dyDescent="0.3">
      <c r="A9" s="4">
        <v>8</v>
      </c>
      <c r="B9" s="5">
        <v>28</v>
      </c>
      <c r="C9" s="5" t="s">
        <v>104</v>
      </c>
      <c r="D9" s="4" t="s">
        <v>107</v>
      </c>
      <c r="E9" s="4" t="s">
        <v>59</v>
      </c>
      <c r="F9" s="4" t="s">
        <v>106</v>
      </c>
      <c r="G9" s="4" t="s">
        <v>109</v>
      </c>
      <c r="H9" s="4"/>
      <c r="I9" s="6" t="s">
        <v>108</v>
      </c>
    </row>
    <row r="10" spans="1:11" x14ac:dyDescent="0.3">
      <c r="A10" s="4">
        <v>9</v>
      </c>
      <c r="B10" s="5">
        <v>18</v>
      </c>
      <c r="C10" s="5" t="s">
        <v>103</v>
      </c>
      <c r="D10" s="4" t="s">
        <v>107</v>
      </c>
      <c r="E10" s="4">
        <v>34.200000000000003</v>
      </c>
      <c r="F10" s="4" t="s">
        <v>110</v>
      </c>
      <c r="G10" s="4" t="s">
        <v>109</v>
      </c>
      <c r="H10" s="4" t="s">
        <v>44</v>
      </c>
      <c r="I10" s="6" t="s">
        <v>108</v>
      </c>
    </row>
    <row r="11" spans="1:11" x14ac:dyDescent="0.3">
      <c r="A11" s="4">
        <v>10</v>
      </c>
      <c r="B11" s="5">
        <v>19</v>
      </c>
      <c r="C11" s="5" t="s">
        <v>104</v>
      </c>
      <c r="D11" s="4" t="s">
        <v>107</v>
      </c>
      <c r="E11" s="4">
        <v>44.6</v>
      </c>
      <c r="F11" s="4" t="s">
        <v>110</v>
      </c>
      <c r="G11" s="5" t="s">
        <v>109</v>
      </c>
      <c r="H11" s="5" t="s">
        <v>27</v>
      </c>
      <c r="I11" s="6" t="s">
        <v>108</v>
      </c>
    </row>
    <row r="12" spans="1:11" x14ac:dyDescent="0.3">
      <c r="A12" s="4">
        <v>11</v>
      </c>
      <c r="B12" s="5">
        <v>34</v>
      </c>
      <c r="C12" s="5" t="s">
        <v>103</v>
      </c>
      <c r="D12" s="4" t="s">
        <v>107</v>
      </c>
      <c r="E12" s="4">
        <v>44.7</v>
      </c>
      <c r="F12" s="4" t="s">
        <v>110</v>
      </c>
      <c r="G12" s="5" t="s">
        <v>109</v>
      </c>
      <c r="H12" s="5" t="s">
        <v>29</v>
      </c>
      <c r="I12" s="6" t="s">
        <v>108</v>
      </c>
    </row>
    <row r="13" spans="1:11" s="7" customFormat="1" x14ac:dyDescent="0.3">
      <c r="A13" s="4">
        <v>12</v>
      </c>
      <c r="B13" s="4">
        <v>33</v>
      </c>
      <c r="C13" s="4" t="s">
        <v>104</v>
      </c>
      <c r="D13" s="4" t="s">
        <v>107</v>
      </c>
      <c r="E13" s="4">
        <v>5.5</v>
      </c>
      <c r="F13" s="4" t="s">
        <v>110</v>
      </c>
      <c r="G13" s="4"/>
      <c r="H13" s="4" t="s">
        <v>31</v>
      </c>
      <c r="I13" s="6" t="s">
        <v>108</v>
      </c>
    </row>
    <row r="14" spans="1:11" s="7" customFormat="1" x14ac:dyDescent="0.3">
      <c r="A14" s="4">
        <v>13</v>
      </c>
      <c r="B14" s="4">
        <v>31</v>
      </c>
      <c r="C14" s="4" t="s">
        <v>104</v>
      </c>
      <c r="D14" s="4" t="s">
        <v>107</v>
      </c>
      <c r="E14" s="4">
        <v>24.1</v>
      </c>
      <c r="F14" s="4" t="s">
        <v>110</v>
      </c>
      <c r="G14" s="4"/>
      <c r="H14" s="4" t="s">
        <v>33</v>
      </c>
      <c r="I14" s="4" t="s">
        <v>105</v>
      </c>
    </row>
    <row r="15" spans="1:11" x14ac:dyDescent="0.3">
      <c r="A15" s="4">
        <v>14</v>
      </c>
      <c r="B15" s="4">
        <v>22</v>
      </c>
      <c r="C15" s="4" t="s">
        <v>103</v>
      </c>
      <c r="D15" s="4" t="s">
        <v>107</v>
      </c>
      <c r="E15" s="4">
        <v>28.1</v>
      </c>
      <c r="F15" s="4" t="s">
        <v>110</v>
      </c>
      <c r="G15" s="4"/>
      <c r="H15" s="4" t="s">
        <v>51</v>
      </c>
      <c r="I15" s="4" t="s">
        <v>105</v>
      </c>
    </row>
    <row r="16" spans="1:11" x14ac:dyDescent="0.3">
      <c r="A16" s="4">
        <v>15</v>
      </c>
      <c r="B16" s="4">
        <v>24</v>
      </c>
      <c r="C16" s="4" t="s">
        <v>103</v>
      </c>
      <c r="D16" s="4" t="s">
        <v>107</v>
      </c>
      <c r="E16" s="4">
        <v>42.8</v>
      </c>
      <c r="F16" s="4" t="s">
        <v>110</v>
      </c>
      <c r="G16" s="4"/>
      <c r="H16" s="4" t="s">
        <v>53</v>
      </c>
      <c r="I16" s="4" t="s">
        <v>105</v>
      </c>
    </row>
    <row r="17" spans="1:9" x14ac:dyDescent="0.3">
      <c r="A17" s="4">
        <v>16</v>
      </c>
      <c r="B17" s="4">
        <v>42</v>
      </c>
      <c r="C17" s="4" t="s">
        <v>103</v>
      </c>
      <c r="D17" s="4" t="s">
        <v>107</v>
      </c>
      <c r="E17" s="4">
        <v>46.5</v>
      </c>
      <c r="F17" s="4" t="s">
        <v>110</v>
      </c>
      <c r="G17" s="4"/>
      <c r="H17" s="4" t="s">
        <v>55</v>
      </c>
      <c r="I17" s="4" t="s">
        <v>105</v>
      </c>
    </row>
    <row r="18" spans="1:9" x14ac:dyDescent="0.3">
      <c r="A18" s="4">
        <v>17</v>
      </c>
      <c r="B18" s="5">
        <v>40</v>
      </c>
      <c r="C18" s="5" t="s">
        <v>103</v>
      </c>
      <c r="D18" s="4" t="s">
        <v>107</v>
      </c>
      <c r="E18" s="4" t="s">
        <v>59</v>
      </c>
      <c r="F18" s="5" t="s">
        <v>106</v>
      </c>
      <c r="G18" s="5" t="s">
        <v>109</v>
      </c>
      <c r="H18" s="5" t="s">
        <v>57</v>
      </c>
      <c r="I18" s="6" t="s">
        <v>108</v>
      </c>
    </row>
    <row r="19" spans="1:9" x14ac:dyDescent="0.3">
      <c r="A19" s="4">
        <v>18</v>
      </c>
      <c r="B19" s="4">
        <v>42</v>
      </c>
      <c r="C19" s="4" t="s">
        <v>104</v>
      </c>
      <c r="D19" s="4" t="s">
        <v>107</v>
      </c>
      <c r="E19" s="4" t="s">
        <v>59</v>
      </c>
      <c r="F19" s="5" t="s">
        <v>106</v>
      </c>
      <c r="G19" s="4" t="s">
        <v>109</v>
      </c>
      <c r="H19" s="4" t="s">
        <v>60</v>
      </c>
      <c r="I19" s="6" t="s">
        <v>108</v>
      </c>
    </row>
    <row r="20" spans="1:9" x14ac:dyDescent="0.3">
      <c r="A20" s="4">
        <v>19</v>
      </c>
      <c r="B20" s="4">
        <v>47</v>
      </c>
      <c r="C20" s="4" t="s">
        <v>104</v>
      </c>
      <c r="D20" s="4" t="s">
        <v>107</v>
      </c>
      <c r="E20" s="4" t="s">
        <v>59</v>
      </c>
      <c r="F20" s="5" t="s">
        <v>106</v>
      </c>
      <c r="G20" s="4" t="s">
        <v>109</v>
      </c>
      <c r="H20" s="4" t="s">
        <v>62</v>
      </c>
      <c r="I20" s="6" t="s">
        <v>108</v>
      </c>
    </row>
    <row r="21" spans="1:9" x14ac:dyDescent="0.3">
      <c r="A21" s="4">
        <v>20</v>
      </c>
      <c r="B21" s="5">
        <v>49</v>
      </c>
      <c r="C21" s="5" t="s">
        <v>104</v>
      </c>
      <c r="D21" s="4" t="s">
        <v>107</v>
      </c>
      <c r="E21" s="4" t="s">
        <v>59</v>
      </c>
      <c r="F21" s="5" t="s">
        <v>106</v>
      </c>
      <c r="G21" s="4" t="s">
        <v>109</v>
      </c>
      <c r="H21" s="4" t="s">
        <v>64</v>
      </c>
      <c r="I21" s="6" t="s">
        <v>108</v>
      </c>
    </row>
    <row r="22" spans="1:9" x14ac:dyDescent="0.3">
      <c r="A22" s="4">
        <v>21</v>
      </c>
      <c r="B22" s="4">
        <v>39</v>
      </c>
      <c r="C22" s="4" t="s">
        <v>103</v>
      </c>
      <c r="D22" s="4" t="s">
        <v>107</v>
      </c>
      <c r="E22" s="4" t="s">
        <v>59</v>
      </c>
      <c r="F22" s="5" t="s">
        <v>106</v>
      </c>
      <c r="G22" s="4" t="s">
        <v>109</v>
      </c>
      <c r="H22" s="4" t="s">
        <v>66</v>
      </c>
      <c r="I22" s="6" t="s">
        <v>108</v>
      </c>
    </row>
    <row r="23" spans="1:9" x14ac:dyDescent="0.3">
      <c r="A23" s="4">
        <v>22</v>
      </c>
      <c r="B23" s="4">
        <v>27</v>
      </c>
      <c r="C23" s="4" t="s">
        <v>104</v>
      </c>
      <c r="D23" s="4" t="s">
        <v>107</v>
      </c>
      <c r="E23" s="4" t="s">
        <v>59</v>
      </c>
      <c r="F23" s="5" t="s">
        <v>106</v>
      </c>
      <c r="G23" s="5"/>
      <c r="H23" s="5" t="s">
        <v>68</v>
      </c>
      <c r="I23" s="4" t="s">
        <v>105</v>
      </c>
    </row>
    <row r="24" spans="1:9" x14ac:dyDescent="0.3">
      <c r="A24" s="4">
        <v>23</v>
      </c>
      <c r="B24" s="4">
        <v>42</v>
      </c>
      <c r="C24" s="4" t="s">
        <v>104</v>
      </c>
      <c r="D24" s="4" t="s">
        <v>107</v>
      </c>
      <c r="E24" s="4" t="s">
        <v>59</v>
      </c>
      <c r="F24" s="5" t="s">
        <v>106</v>
      </c>
      <c r="G24" s="5"/>
      <c r="H24" s="5" t="s">
        <v>70</v>
      </c>
      <c r="I24" s="4" t="s">
        <v>105</v>
      </c>
    </row>
  </sheetData>
  <pageMargins left="0.7" right="0.7" top="0.78740157499999996" bottom="0.78740157499999996" header="0.3" footer="0.3"/>
  <pageSetup paperSize="9" orientation="portrait" horizontalDpi="4294967292" verticalDpi="429496729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36B67-149A-9645-81D7-20AD986C4783}">
  <dimension ref="P2:P3"/>
  <sheetViews>
    <sheetView zoomScale="70" zoomScaleNormal="70" workbookViewId="0">
      <selection activeCell="P3" sqref="P2:P3"/>
    </sheetView>
  </sheetViews>
  <sheetFormatPr defaultColWidth="11.5546875" defaultRowHeight="14.4" x14ac:dyDescent="0.3"/>
  <sheetData>
    <row r="2" spans="16:16" x14ac:dyDescent="0.3">
      <c r="P2" s="35" t="s">
        <v>318</v>
      </c>
    </row>
    <row r="3" spans="16:16" x14ac:dyDescent="0.3">
      <c r="P3" s="35" t="s">
        <v>319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D023BC-CF53-EA43-BB00-ED33E3AC978C}">
  <dimension ref="A1"/>
  <sheetViews>
    <sheetView zoomScale="70" zoomScaleNormal="70" workbookViewId="0">
      <selection activeCell="P20" sqref="P20"/>
    </sheetView>
  </sheetViews>
  <sheetFormatPr defaultColWidth="11.5546875" defaultRowHeight="14.4" x14ac:dyDescent="0.3"/>
  <sheetData>
    <row r="1" spans="1:1" x14ac:dyDescent="0.3">
      <c r="A1" t="s">
        <v>320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678B58-7994-8A40-A2D6-D3E124507B3C}">
  <dimension ref="A1:G52"/>
  <sheetViews>
    <sheetView zoomScale="70" zoomScaleNormal="70" workbookViewId="0">
      <selection activeCell="E12" sqref="E12"/>
    </sheetView>
  </sheetViews>
  <sheetFormatPr defaultColWidth="65.5546875" defaultRowHeight="14.4" x14ac:dyDescent="0.3"/>
  <cols>
    <col min="1" max="1" width="4.6640625" bestFit="1" customWidth="1"/>
    <col min="2" max="2" width="8.6640625" bestFit="1" customWidth="1"/>
    <col min="3" max="3" width="8.5546875" bestFit="1" customWidth="1"/>
    <col min="4" max="4" width="11.21875" bestFit="1" customWidth="1"/>
    <col min="5" max="5" width="47.88671875" bestFit="1" customWidth="1"/>
    <col min="7" max="7" width="15.33203125" bestFit="1" customWidth="1"/>
  </cols>
  <sheetData>
    <row r="1" spans="1:7" s="1" customFormat="1" x14ac:dyDescent="0.3">
      <c r="A1" s="13" t="s">
        <v>120</v>
      </c>
      <c r="B1" s="13" t="s">
        <v>121</v>
      </c>
      <c r="C1" s="13" t="s">
        <v>122</v>
      </c>
      <c r="D1" s="13" t="s">
        <v>123</v>
      </c>
      <c r="E1" s="13" t="s">
        <v>124</v>
      </c>
      <c r="G1" s="14" t="s">
        <v>258</v>
      </c>
    </row>
    <row r="2" spans="1:7" x14ac:dyDescent="0.3">
      <c r="A2" s="11" t="s">
        <v>125</v>
      </c>
      <c r="B2" s="11">
        <v>25</v>
      </c>
      <c r="C2" s="11" t="s">
        <v>126</v>
      </c>
      <c r="D2" s="11" t="s">
        <v>127</v>
      </c>
      <c r="E2" s="12" t="s">
        <v>128</v>
      </c>
    </row>
    <row r="3" spans="1:7" x14ac:dyDescent="0.3">
      <c r="A3" s="11" t="s">
        <v>129</v>
      </c>
      <c r="B3" s="11">
        <v>24</v>
      </c>
      <c r="C3" s="11" t="s">
        <v>130</v>
      </c>
      <c r="D3" s="11" t="s">
        <v>127</v>
      </c>
      <c r="E3" s="12" t="s">
        <v>131</v>
      </c>
    </row>
    <row r="4" spans="1:7" x14ac:dyDescent="0.3">
      <c r="A4" s="11" t="s">
        <v>132</v>
      </c>
      <c r="B4" s="11">
        <v>37</v>
      </c>
      <c r="C4" s="11" t="s">
        <v>130</v>
      </c>
      <c r="D4" s="11" t="s">
        <v>127</v>
      </c>
      <c r="E4" s="12" t="s">
        <v>133</v>
      </c>
    </row>
    <row r="5" spans="1:7" x14ac:dyDescent="0.3">
      <c r="A5" s="11" t="s">
        <v>134</v>
      </c>
      <c r="B5" s="11">
        <v>31</v>
      </c>
      <c r="C5" s="11" t="s">
        <v>130</v>
      </c>
      <c r="D5" s="11" t="s">
        <v>127</v>
      </c>
      <c r="E5" s="11" t="s">
        <v>135</v>
      </c>
    </row>
    <row r="6" spans="1:7" x14ac:dyDescent="0.3">
      <c r="A6" s="11" t="s">
        <v>136</v>
      </c>
      <c r="B6" s="11">
        <v>50</v>
      </c>
      <c r="C6" s="11" t="s">
        <v>130</v>
      </c>
      <c r="D6" s="11" t="s">
        <v>127</v>
      </c>
      <c r="E6" s="11" t="s">
        <v>137</v>
      </c>
    </row>
    <row r="7" spans="1:7" x14ac:dyDescent="0.3">
      <c r="A7" s="11" t="s">
        <v>138</v>
      </c>
      <c r="B7" s="11">
        <v>55</v>
      </c>
      <c r="C7" s="11" t="s">
        <v>126</v>
      </c>
      <c r="D7" s="11" t="s">
        <v>127</v>
      </c>
      <c r="E7" s="11" t="s">
        <v>139</v>
      </c>
    </row>
    <row r="8" spans="1:7" x14ac:dyDescent="0.3">
      <c r="A8" s="11" t="s">
        <v>140</v>
      </c>
      <c r="B8" s="11">
        <v>57</v>
      </c>
      <c r="C8" s="11" t="s">
        <v>130</v>
      </c>
      <c r="D8" s="11" t="s">
        <v>127</v>
      </c>
      <c r="E8" s="11" t="s">
        <v>139</v>
      </c>
    </row>
    <row r="9" spans="1:7" x14ac:dyDescent="0.3">
      <c r="A9" s="11" t="s">
        <v>141</v>
      </c>
      <c r="B9" s="11">
        <v>39</v>
      </c>
      <c r="C9" s="11" t="s">
        <v>126</v>
      </c>
      <c r="D9" s="11" t="s">
        <v>127</v>
      </c>
      <c r="E9" s="11" t="s">
        <v>139</v>
      </c>
    </row>
    <row r="10" spans="1:7" x14ac:dyDescent="0.3">
      <c r="A10" s="11" t="s">
        <v>142</v>
      </c>
      <c r="B10" s="11">
        <v>35</v>
      </c>
      <c r="C10" s="11" t="s">
        <v>126</v>
      </c>
      <c r="D10" s="11" t="s">
        <v>127</v>
      </c>
      <c r="E10" s="11" t="s">
        <v>139</v>
      </c>
    </row>
    <row r="11" spans="1:7" x14ac:dyDescent="0.3">
      <c r="A11" s="11" t="s">
        <v>143</v>
      </c>
      <c r="B11" s="11">
        <v>73</v>
      </c>
      <c r="C11" s="11" t="s">
        <v>126</v>
      </c>
      <c r="D11" s="11" t="s">
        <v>127</v>
      </c>
      <c r="E11" s="11" t="s">
        <v>139</v>
      </c>
    </row>
    <row r="12" spans="1:7" x14ac:dyDescent="0.3">
      <c r="A12" s="11" t="s">
        <v>144</v>
      </c>
      <c r="B12" s="11">
        <v>42</v>
      </c>
      <c r="C12" s="11" t="s">
        <v>126</v>
      </c>
      <c r="D12" s="11" t="s">
        <v>127</v>
      </c>
      <c r="E12" s="11" t="s">
        <v>145</v>
      </c>
    </row>
    <row r="13" spans="1:7" x14ac:dyDescent="0.3">
      <c r="A13" s="11" t="s">
        <v>146</v>
      </c>
      <c r="B13" s="11">
        <v>36</v>
      </c>
      <c r="C13" s="11" t="s">
        <v>126</v>
      </c>
      <c r="D13" s="11" t="s">
        <v>127</v>
      </c>
      <c r="E13" s="11" t="s">
        <v>145</v>
      </c>
    </row>
    <row r="14" spans="1:7" x14ac:dyDescent="0.3">
      <c r="A14" s="11" t="s">
        <v>147</v>
      </c>
      <c r="B14" s="11">
        <v>52</v>
      </c>
      <c r="C14" s="11" t="s">
        <v>126</v>
      </c>
      <c r="D14" s="11" t="s">
        <v>127</v>
      </c>
      <c r="E14" s="11" t="s">
        <v>145</v>
      </c>
    </row>
    <row r="15" spans="1:7" x14ac:dyDescent="0.3">
      <c r="A15" s="11" t="s">
        <v>148</v>
      </c>
      <c r="B15" s="11">
        <v>47</v>
      </c>
      <c r="C15" s="11" t="s">
        <v>130</v>
      </c>
      <c r="D15" s="11" t="s">
        <v>127</v>
      </c>
      <c r="E15" s="11" t="s">
        <v>149</v>
      </c>
    </row>
    <row r="16" spans="1:7" x14ac:dyDescent="0.3">
      <c r="A16" s="11" t="s">
        <v>150</v>
      </c>
      <c r="B16" s="11">
        <v>25</v>
      </c>
      <c r="C16" s="11" t="s">
        <v>126</v>
      </c>
      <c r="D16" s="11" t="s">
        <v>127</v>
      </c>
      <c r="E16" s="11" t="s">
        <v>149</v>
      </c>
    </row>
    <row r="17" spans="1:5" x14ac:dyDescent="0.3">
      <c r="A17" s="11" t="s">
        <v>151</v>
      </c>
      <c r="B17" s="11">
        <v>39</v>
      </c>
      <c r="C17" s="11" t="s">
        <v>126</v>
      </c>
      <c r="D17" s="11" t="s">
        <v>127</v>
      </c>
      <c r="E17" s="11" t="s">
        <v>149</v>
      </c>
    </row>
    <row r="18" spans="1:5" x14ac:dyDescent="0.3">
      <c r="A18" s="11" t="s">
        <v>152</v>
      </c>
      <c r="B18" s="11">
        <v>44</v>
      </c>
      <c r="C18" s="11" t="s">
        <v>130</v>
      </c>
      <c r="D18" s="11" t="s">
        <v>127</v>
      </c>
      <c r="E18" s="11" t="s">
        <v>149</v>
      </c>
    </row>
    <row r="19" spans="1:5" x14ac:dyDescent="0.3">
      <c r="A19" s="11" t="s">
        <v>153</v>
      </c>
      <c r="B19" s="11">
        <v>51</v>
      </c>
      <c r="C19" s="11" t="s">
        <v>126</v>
      </c>
      <c r="D19" s="11" t="s">
        <v>127</v>
      </c>
      <c r="E19" s="11" t="s">
        <v>149</v>
      </c>
    </row>
    <row r="20" spans="1:5" x14ac:dyDescent="0.3">
      <c r="A20" s="11" t="s">
        <v>154</v>
      </c>
      <c r="B20" s="11">
        <v>20</v>
      </c>
      <c r="C20" s="11" t="s">
        <v>130</v>
      </c>
      <c r="D20" s="11" t="s">
        <v>127</v>
      </c>
      <c r="E20" s="11" t="s">
        <v>145</v>
      </c>
    </row>
    <row r="21" spans="1:5" x14ac:dyDescent="0.3">
      <c r="A21" s="11" t="s">
        <v>155</v>
      </c>
      <c r="B21" s="11">
        <v>34</v>
      </c>
      <c r="C21" s="11" t="s">
        <v>126</v>
      </c>
      <c r="D21" s="11" t="s">
        <v>127</v>
      </c>
      <c r="E21" s="11" t="s">
        <v>156</v>
      </c>
    </row>
    <row r="22" spans="1:5" x14ac:dyDescent="0.3">
      <c r="A22" s="11" t="s">
        <v>157</v>
      </c>
      <c r="B22" s="11">
        <v>31</v>
      </c>
      <c r="C22" s="11" t="s">
        <v>126</v>
      </c>
      <c r="D22" s="11" t="s">
        <v>127</v>
      </c>
      <c r="E22" s="11" t="s">
        <v>156</v>
      </c>
    </row>
    <row r="23" spans="1:5" x14ac:dyDescent="0.3">
      <c r="A23" s="11" t="s">
        <v>158</v>
      </c>
      <c r="B23" s="11">
        <v>42</v>
      </c>
      <c r="C23" s="11" t="s">
        <v>130</v>
      </c>
      <c r="D23" s="11" t="s">
        <v>127</v>
      </c>
      <c r="E23" s="11" t="s">
        <v>156</v>
      </c>
    </row>
    <row r="24" spans="1:5" x14ac:dyDescent="0.3">
      <c r="A24" s="11" t="s">
        <v>159</v>
      </c>
      <c r="B24" s="11">
        <v>58</v>
      </c>
      <c r="C24" s="11" t="s">
        <v>126</v>
      </c>
      <c r="D24" s="11" t="s">
        <v>127</v>
      </c>
      <c r="E24" s="11" t="s">
        <v>156</v>
      </c>
    </row>
    <row r="25" spans="1:5" x14ac:dyDescent="0.3">
      <c r="A25" s="11" t="s">
        <v>160</v>
      </c>
      <c r="B25" s="11">
        <v>25</v>
      </c>
      <c r="C25" s="11" t="s">
        <v>126</v>
      </c>
      <c r="D25" s="11" t="s">
        <v>161</v>
      </c>
      <c r="E25" s="11" t="s">
        <v>162</v>
      </c>
    </row>
    <row r="26" spans="1:5" x14ac:dyDescent="0.3">
      <c r="A26" s="11" t="s">
        <v>163</v>
      </c>
      <c r="B26" s="11">
        <v>26</v>
      </c>
      <c r="C26" s="11" t="s">
        <v>130</v>
      </c>
      <c r="D26" s="11" t="s">
        <v>161</v>
      </c>
      <c r="E26" s="11" t="s">
        <v>162</v>
      </c>
    </row>
    <row r="27" spans="1:5" x14ac:dyDescent="0.3">
      <c r="A27" s="11" t="s">
        <v>164</v>
      </c>
      <c r="B27" s="11">
        <v>43</v>
      </c>
      <c r="C27" s="11" t="s">
        <v>130</v>
      </c>
      <c r="D27" s="11" t="s">
        <v>161</v>
      </c>
      <c r="E27" s="11" t="s">
        <v>162</v>
      </c>
    </row>
    <row r="28" spans="1:5" x14ac:dyDescent="0.3">
      <c r="A28" s="11" t="s">
        <v>165</v>
      </c>
      <c r="B28" s="11">
        <v>42</v>
      </c>
      <c r="C28" s="11" t="s">
        <v>126</v>
      </c>
      <c r="D28" s="11" t="s">
        <v>161</v>
      </c>
      <c r="E28" s="11" t="s">
        <v>166</v>
      </c>
    </row>
    <row r="29" spans="1:5" x14ac:dyDescent="0.3">
      <c r="A29" s="11" t="s">
        <v>167</v>
      </c>
      <c r="B29" s="11">
        <v>47</v>
      </c>
      <c r="C29" s="11" t="s">
        <v>126</v>
      </c>
      <c r="D29" s="11" t="s">
        <v>161</v>
      </c>
      <c r="E29" s="11" t="s">
        <v>166</v>
      </c>
    </row>
    <row r="30" spans="1:5" x14ac:dyDescent="0.3">
      <c r="A30" s="11" t="s">
        <v>168</v>
      </c>
      <c r="B30" s="11">
        <v>49</v>
      </c>
      <c r="C30" s="11" t="s">
        <v>126</v>
      </c>
      <c r="D30" s="11" t="s">
        <v>161</v>
      </c>
      <c r="E30" s="11" t="s">
        <v>166</v>
      </c>
    </row>
    <row r="31" spans="1:5" x14ac:dyDescent="0.3">
      <c r="A31" s="11" t="s">
        <v>169</v>
      </c>
      <c r="B31" s="11">
        <v>28</v>
      </c>
      <c r="C31" s="11" t="s">
        <v>126</v>
      </c>
      <c r="D31" s="11" t="s">
        <v>161</v>
      </c>
      <c r="E31" s="11" t="s">
        <v>170</v>
      </c>
    </row>
    <row r="32" spans="1:5" x14ac:dyDescent="0.3">
      <c r="A32" s="11" t="s">
        <v>171</v>
      </c>
      <c r="B32" s="11">
        <v>24</v>
      </c>
      <c r="C32" s="11" t="s">
        <v>126</v>
      </c>
      <c r="D32" s="11" t="s">
        <v>161</v>
      </c>
      <c r="E32" s="11" t="s">
        <v>166</v>
      </c>
    </row>
    <row r="33" spans="1:5" x14ac:dyDescent="0.3">
      <c r="A33" s="11" t="s">
        <v>172</v>
      </c>
      <c r="B33" s="11">
        <v>36</v>
      </c>
      <c r="C33" s="11" t="s">
        <v>126</v>
      </c>
      <c r="D33" s="11" t="s">
        <v>161</v>
      </c>
      <c r="E33" s="11" t="s">
        <v>166</v>
      </c>
    </row>
    <row r="34" spans="1:5" x14ac:dyDescent="0.3">
      <c r="A34" s="11" t="s">
        <v>173</v>
      </c>
      <c r="B34" s="11">
        <v>27</v>
      </c>
      <c r="C34" s="11" t="s">
        <v>130</v>
      </c>
      <c r="D34" s="11" t="s">
        <v>161</v>
      </c>
      <c r="E34" s="11" t="s">
        <v>166</v>
      </c>
    </row>
    <row r="35" spans="1:5" x14ac:dyDescent="0.3">
      <c r="A35" s="11" t="s">
        <v>174</v>
      </c>
      <c r="B35" s="11">
        <v>40</v>
      </c>
      <c r="C35" s="11" t="s">
        <v>130</v>
      </c>
      <c r="D35" s="11" t="s">
        <v>161</v>
      </c>
      <c r="E35" s="11" t="s">
        <v>166</v>
      </c>
    </row>
    <row r="36" spans="1:5" x14ac:dyDescent="0.3">
      <c r="A36" s="11" t="s">
        <v>175</v>
      </c>
      <c r="B36" s="11">
        <v>28</v>
      </c>
      <c r="C36" s="11" t="s">
        <v>126</v>
      </c>
      <c r="D36" s="11" t="s">
        <v>161</v>
      </c>
      <c r="E36" s="11" t="s">
        <v>166</v>
      </c>
    </row>
    <row r="37" spans="1:5" x14ac:dyDescent="0.3">
      <c r="A37" s="11" t="s">
        <v>176</v>
      </c>
      <c r="B37" s="11">
        <v>39</v>
      </c>
      <c r="C37" s="11" t="s">
        <v>130</v>
      </c>
      <c r="D37" s="11" t="s">
        <v>161</v>
      </c>
      <c r="E37" s="11" t="s">
        <v>166</v>
      </c>
    </row>
    <row r="38" spans="1:5" x14ac:dyDescent="0.3">
      <c r="A38" s="11" t="s">
        <v>177</v>
      </c>
      <c r="B38" s="11">
        <v>54</v>
      </c>
      <c r="C38" s="11" t="s">
        <v>126</v>
      </c>
      <c r="D38" s="11" t="s">
        <v>161</v>
      </c>
      <c r="E38" s="11" t="s">
        <v>166</v>
      </c>
    </row>
    <row r="39" spans="1:5" x14ac:dyDescent="0.3">
      <c r="A39" s="11" t="s">
        <v>178</v>
      </c>
      <c r="B39" s="11">
        <v>30</v>
      </c>
      <c r="C39" s="11" t="s">
        <v>126</v>
      </c>
      <c r="D39" s="11" t="s">
        <v>161</v>
      </c>
      <c r="E39" s="11" t="s">
        <v>162</v>
      </c>
    </row>
    <row r="40" spans="1:5" x14ac:dyDescent="0.3">
      <c r="A40" s="11" t="s">
        <v>179</v>
      </c>
      <c r="B40" s="11">
        <v>41</v>
      </c>
      <c r="C40" s="11" t="s">
        <v>126</v>
      </c>
      <c r="D40" s="11" t="s">
        <v>161</v>
      </c>
      <c r="E40" s="11" t="s">
        <v>166</v>
      </c>
    </row>
    <row r="41" spans="1:5" x14ac:dyDescent="0.3">
      <c r="A41" s="11" t="s">
        <v>180</v>
      </c>
      <c r="B41" s="11">
        <v>26</v>
      </c>
      <c r="C41" s="11" t="s">
        <v>126</v>
      </c>
      <c r="D41" s="11" t="s">
        <v>161</v>
      </c>
      <c r="E41" s="11" t="s">
        <v>166</v>
      </c>
    </row>
    <row r="42" spans="1:5" x14ac:dyDescent="0.3">
      <c r="A42" s="11" t="s">
        <v>181</v>
      </c>
      <c r="B42" s="11">
        <v>25</v>
      </c>
      <c r="C42" s="11" t="s">
        <v>126</v>
      </c>
      <c r="D42" s="11" t="s">
        <v>161</v>
      </c>
      <c r="E42" s="11" t="s">
        <v>166</v>
      </c>
    </row>
    <row r="43" spans="1:5" x14ac:dyDescent="0.3">
      <c r="A43" s="11" t="s">
        <v>182</v>
      </c>
      <c r="B43" s="11">
        <v>24</v>
      </c>
      <c r="C43" s="11" t="s">
        <v>126</v>
      </c>
      <c r="D43" s="11" t="s">
        <v>161</v>
      </c>
      <c r="E43" s="11" t="s">
        <v>170</v>
      </c>
    </row>
    <row r="44" spans="1:5" x14ac:dyDescent="0.3">
      <c r="A44" s="11" t="s">
        <v>183</v>
      </c>
      <c r="B44" s="11">
        <v>31</v>
      </c>
      <c r="C44" s="11" t="s">
        <v>130</v>
      </c>
      <c r="D44" s="11" t="s">
        <v>161</v>
      </c>
      <c r="E44" s="11" t="s">
        <v>166</v>
      </c>
    </row>
    <row r="45" spans="1:5" x14ac:dyDescent="0.3">
      <c r="A45" s="11" t="s">
        <v>184</v>
      </c>
      <c r="B45" s="11">
        <v>26</v>
      </c>
      <c r="C45" s="11" t="s">
        <v>130</v>
      </c>
      <c r="D45" s="11" t="s">
        <v>161</v>
      </c>
      <c r="E45" s="11" t="s">
        <v>166</v>
      </c>
    </row>
    <row r="46" spans="1:5" x14ac:dyDescent="0.3">
      <c r="A46" s="11" t="s">
        <v>185</v>
      </c>
      <c r="B46" s="11">
        <v>33</v>
      </c>
      <c r="C46" s="11" t="s">
        <v>130</v>
      </c>
      <c r="D46" s="11" t="s">
        <v>127</v>
      </c>
      <c r="E46" s="11" t="s">
        <v>139</v>
      </c>
    </row>
    <row r="47" spans="1:5" x14ac:dyDescent="0.3">
      <c r="A47" s="11" t="s">
        <v>186</v>
      </c>
      <c r="B47" s="11">
        <v>50</v>
      </c>
      <c r="C47" s="11" t="s">
        <v>130</v>
      </c>
      <c r="D47" s="11" t="s">
        <v>127</v>
      </c>
      <c r="E47" s="11" t="s">
        <v>139</v>
      </c>
    </row>
    <row r="48" spans="1:5" x14ac:dyDescent="0.3">
      <c r="A48" s="11" t="s">
        <v>187</v>
      </c>
      <c r="B48" s="11">
        <v>50</v>
      </c>
      <c r="C48" s="11" t="s">
        <v>126</v>
      </c>
      <c r="D48" s="11" t="s">
        <v>127</v>
      </c>
      <c r="E48" s="11" t="s">
        <v>139</v>
      </c>
    </row>
    <row r="49" spans="1:5" x14ac:dyDescent="0.3">
      <c r="A49" s="11" t="s">
        <v>188</v>
      </c>
      <c r="B49" s="11">
        <v>39</v>
      </c>
      <c r="C49" s="11" t="s">
        <v>130</v>
      </c>
      <c r="D49" s="11" t="s">
        <v>161</v>
      </c>
      <c r="E49" s="11" t="s">
        <v>189</v>
      </c>
    </row>
    <row r="50" spans="1:5" x14ac:dyDescent="0.3">
      <c r="A50" s="11" t="s">
        <v>190</v>
      </c>
      <c r="B50" s="11">
        <v>31</v>
      </c>
      <c r="C50" s="11" t="s">
        <v>126</v>
      </c>
      <c r="D50" s="11" t="s">
        <v>161</v>
      </c>
      <c r="E50" s="11" t="s">
        <v>189</v>
      </c>
    </row>
    <row r="51" spans="1:5" x14ac:dyDescent="0.3">
      <c r="A51" s="11" t="s">
        <v>191</v>
      </c>
      <c r="B51" s="11">
        <v>32</v>
      </c>
      <c r="C51" s="11" t="s">
        <v>130</v>
      </c>
      <c r="D51" s="11" t="s">
        <v>161</v>
      </c>
      <c r="E51" s="11" t="s">
        <v>189</v>
      </c>
    </row>
    <row r="52" spans="1:5" x14ac:dyDescent="0.3">
      <c r="A52" s="11" t="s">
        <v>192</v>
      </c>
      <c r="B52" s="11">
        <v>33</v>
      </c>
      <c r="C52" s="11" t="s">
        <v>130</v>
      </c>
      <c r="D52" s="11" t="s">
        <v>161</v>
      </c>
      <c r="E52" s="11" t="s">
        <v>170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462BB-2EF8-744E-A457-D2CA86DE6E2E}">
  <dimension ref="A1:L24"/>
  <sheetViews>
    <sheetView workbookViewId="0">
      <selection activeCell="I21" sqref="I21"/>
    </sheetView>
  </sheetViews>
  <sheetFormatPr defaultColWidth="21.109375" defaultRowHeight="14.4" x14ac:dyDescent="0.3"/>
  <cols>
    <col min="1" max="1" width="4.44140625" bestFit="1" customWidth="1"/>
    <col min="2" max="2" width="8.44140625" style="17" bestFit="1" customWidth="1"/>
    <col min="3" max="3" width="8.109375" style="17" bestFit="1" customWidth="1"/>
    <col min="4" max="4" width="5.6640625" style="17" bestFit="1" customWidth="1"/>
    <col min="5" max="5" width="9.33203125" style="17" bestFit="1" customWidth="1"/>
    <col min="6" max="6" width="11.6640625" style="17" bestFit="1" customWidth="1"/>
    <col min="7" max="7" width="3.77734375" style="17" bestFit="1" customWidth="1"/>
    <col min="8" max="8" width="11" style="17" bestFit="1" customWidth="1"/>
    <col min="9" max="9" width="12.109375" style="17" bestFit="1" customWidth="1"/>
    <col min="10" max="10" width="35.44140625" style="17" bestFit="1" customWidth="1"/>
  </cols>
  <sheetData>
    <row r="1" spans="1:12" s="1" customFormat="1" ht="27.6" x14ac:dyDescent="0.3">
      <c r="A1" s="13" t="s">
        <v>120</v>
      </c>
      <c r="B1" s="15" t="s">
        <v>121</v>
      </c>
      <c r="C1" s="15" t="s">
        <v>122</v>
      </c>
      <c r="D1" s="15" t="s">
        <v>115</v>
      </c>
      <c r="E1" s="15" t="s">
        <v>256</v>
      </c>
      <c r="F1" s="15" t="s">
        <v>257</v>
      </c>
      <c r="G1" s="15" t="s">
        <v>193</v>
      </c>
      <c r="H1" s="15" t="s">
        <v>194</v>
      </c>
      <c r="I1" s="15" t="s">
        <v>123</v>
      </c>
      <c r="J1" s="15" t="s">
        <v>124</v>
      </c>
      <c r="L1" s="14" t="s">
        <v>258</v>
      </c>
    </row>
    <row r="2" spans="1:12" x14ac:dyDescent="0.3">
      <c r="A2" s="11" t="s">
        <v>195</v>
      </c>
      <c r="B2" s="16">
        <v>30</v>
      </c>
      <c r="C2" s="16" t="s">
        <v>126</v>
      </c>
      <c r="D2" s="16">
        <v>28.4</v>
      </c>
      <c r="E2" s="16">
        <v>4</v>
      </c>
      <c r="F2" s="16">
        <v>6.19</v>
      </c>
      <c r="G2" s="16" t="s">
        <v>196</v>
      </c>
      <c r="H2" s="16" t="s">
        <v>197</v>
      </c>
      <c r="I2" s="16" t="s">
        <v>127</v>
      </c>
      <c r="J2" s="16" t="s">
        <v>139</v>
      </c>
    </row>
    <row r="3" spans="1:12" x14ac:dyDescent="0.3">
      <c r="A3" s="11" t="s">
        <v>198</v>
      </c>
      <c r="B3" s="16">
        <v>22</v>
      </c>
      <c r="C3" s="16" t="s">
        <v>130</v>
      </c>
      <c r="D3" s="16">
        <v>28.1</v>
      </c>
      <c r="E3" s="16">
        <v>3</v>
      </c>
      <c r="F3" s="16">
        <v>6.28</v>
      </c>
      <c r="G3" s="16" t="s">
        <v>196</v>
      </c>
      <c r="H3" s="16" t="s">
        <v>197</v>
      </c>
      <c r="I3" s="16" t="s">
        <v>127</v>
      </c>
      <c r="J3" s="18" t="s">
        <v>199</v>
      </c>
    </row>
    <row r="4" spans="1:12" x14ac:dyDescent="0.3">
      <c r="A4" s="11" t="s">
        <v>200</v>
      </c>
      <c r="B4" s="16">
        <v>26</v>
      </c>
      <c r="C4" s="16" t="s">
        <v>130</v>
      </c>
      <c r="D4" s="16">
        <v>58.4</v>
      </c>
      <c r="E4" s="16">
        <v>4</v>
      </c>
      <c r="F4" s="16">
        <v>10.050000000000001</v>
      </c>
      <c r="G4" s="16" t="s">
        <v>196</v>
      </c>
      <c r="H4" s="16" t="s">
        <v>197</v>
      </c>
      <c r="I4" s="16" t="s">
        <v>127</v>
      </c>
      <c r="J4" s="18" t="s">
        <v>201</v>
      </c>
    </row>
    <row r="5" spans="1:12" x14ac:dyDescent="0.3">
      <c r="A5" s="11" t="s">
        <v>202</v>
      </c>
      <c r="B5" s="16">
        <v>42</v>
      </c>
      <c r="C5" s="16" t="s">
        <v>130</v>
      </c>
      <c r="D5" s="16">
        <v>46</v>
      </c>
      <c r="E5" s="16">
        <v>4</v>
      </c>
      <c r="F5" s="16">
        <v>12.79</v>
      </c>
      <c r="G5" s="16" t="s">
        <v>196</v>
      </c>
      <c r="H5" s="16" t="s">
        <v>197</v>
      </c>
      <c r="I5" s="16" t="s">
        <v>127</v>
      </c>
      <c r="J5" s="18" t="s">
        <v>203</v>
      </c>
    </row>
    <row r="6" spans="1:12" ht="27.6" x14ac:dyDescent="0.3">
      <c r="A6" s="10" t="s">
        <v>204</v>
      </c>
      <c r="B6" s="16">
        <v>24</v>
      </c>
      <c r="C6" s="16" t="s">
        <v>126</v>
      </c>
      <c r="D6" s="16">
        <v>28.1</v>
      </c>
      <c r="E6" s="16">
        <v>3</v>
      </c>
      <c r="F6" s="16">
        <v>11.53</v>
      </c>
      <c r="G6" s="16" t="s">
        <v>196</v>
      </c>
      <c r="H6" s="16" t="s">
        <v>197</v>
      </c>
      <c r="I6" s="16" t="s">
        <v>259</v>
      </c>
      <c r="J6" s="18" t="s">
        <v>205</v>
      </c>
    </row>
    <row r="7" spans="1:12" ht="27.6" x14ac:dyDescent="0.3">
      <c r="A7" s="10" t="s">
        <v>206</v>
      </c>
      <c r="B7" s="16">
        <v>56</v>
      </c>
      <c r="C7" s="16" t="s">
        <v>130</v>
      </c>
      <c r="D7" s="16">
        <v>24.6</v>
      </c>
      <c r="E7" s="16">
        <v>3</v>
      </c>
      <c r="F7" s="16">
        <v>9.16</v>
      </c>
      <c r="G7" s="16" t="s">
        <v>196</v>
      </c>
      <c r="H7" s="16" t="s">
        <v>197</v>
      </c>
      <c r="I7" s="16" t="s">
        <v>259</v>
      </c>
      <c r="J7" s="16" t="s">
        <v>207</v>
      </c>
    </row>
    <row r="8" spans="1:12" x14ac:dyDescent="0.3">
      <c r="A8" s="11" t="s">
        <v>208</v>
      </c>
      <c r="B8" s="16">
        <v>27</v>
      </c>
      <c r="C8" s="16" t="s">
        <v>130</v>
      </c>
      <c r="D8" s="16">
        <v>3.9</v>
      </c>
      <c r="E8" s="16">
        <v>2</v>
      </c>
      <c r="F8" s="16">
        <v>6.72</v>
      </c>
      <c r="G8" s="16" t="s">
        <v>209</v>
      </c>
      <c r="H8" s="16" t="s">
        <v>197</v>
      </c>
      <c r="I8" s="16" t="s">
        <v>161</v>
      </c>
      <c r="J8" s="16" t="s">
        <v>210</v>
      </c>
    </row>
    <row r="9" spans="1:12" x14ac:dyDescent="0.3">
      <c r="A9" s="11" t="s">
        <v>211</v>
      </c>
      <c r="B9" s="16">
        <v>59</v>
      </c>
      <c r="C9" s="16" t="s">
        <v>130</v>
      </c>
      <c r="D9" s="16" t="s">
        <v>212</v>
      </c>
      <c r="E9" s="16" t="s">
        <v>212</v>
      </c>
      <c r="F9" s="16" t="s">
        <v>212</v>
      </c>
      <c r="G9" s="16" t="s">
        <v>209</v>
      </c>
      <c r="H9" s="16" t="s">
        <v>197</v>
      </c>
      <c r="I9" s="16" t="s">
        <v>127</v>
      </c>
      <c r="J9" s="16" t="s">
        <v>156</v>
      </c>
    </row>
    <row r="10" spans="1:12" x14ac:dyDescent="0.3">
      <c r="A10" s="11" t="s">
        <v>213</v>
      </c>
      <c r="B10" s="16">
        <v>50</v>
      </c>
      <c r="C10" s="16" t="s">
        <v>130</v>
      </c>
      <c r="D10" s="16" t="s">
        <v>212</v>
      </c>
      <c r="E10" s="16">
        <v>3</v>
      </c>
      <c r="F10" s="16">
        <v>6.43</v>
      </c>
      <c r="G10" s="16" t="s">
        <v>196</v>
      </c>
      <c r="H10" s="16" t="s">
        <v>197</v>
      </c>
      <c r="I10" s="16" t="s">
        <v>214</v>
      </c>
      <c r="J10" s="16" t="s">
        <v>156</v>
      </c>
    </row>
    <row r="11" spans="1:12" x14ac:dyDescent="0.3">
      <c r="A11" s="11" t="s">
        <v>215</v>
      </c>
      <c r="B11" s="16">
        <v>28</v>
      </c>
      <c r="C11" s="16" t="s">
        <v>130</v>
      </c>
      <c r="D11" s="16" t="s">
        <v>212</v>
      </c>
      <c r="E11" s="16">
        <v>4</v>
      </c>
      <c r="F11" s="16">
        <v>11.51</v>
      </c>
      <c r="G11" s="16" t="s">
        <v>216</v>
      </c>
      <c r="H11" s="16" t="s">
        <v>197</v>
      </c>
      <c r="I11" s="16" t="s">
        <v>127</v>
      </c>
      <c r="J11" s="16" t="s">
        <v>156</v>
      </c>
    </row>
    <row r="12" spans="1:12" s="17" customFormat="1" x14ac:dyDescent="0.3">
      <c r="A12" s="16" t="s">
        <v>217</v>
      </c>
      <c r="B12" s="16">
        <v>52</v>
      </c>
      <c r="C12" s="16" t="s">
        <v>126</v>
      </c>
      <c r="D12" s="16">
        <v>27.4</v>
      </c>
      <c r="E12" s="16">
        <v>4</v>
      </c>
      <c r="F12" s="16">
        <v>5.21</v>
      </c>
      <c r="G12" s="16" t="s">
        <v>196</v>
      </c>
      <c r="H12" s="16" t="s">
        <v>197</v>
      </c>
      <c r="I12" s="16" t="s">
        <v>127</v>
      </c>
      <c r="J12" s="16" t="s">
        <v>218</v>
      </c>
    </row>
    <row r="13" spans="1:12" x14ac:dyDescent="0.3">
      <c r="A13" s="11" t="s">
        <v>219</v>
      </c>
      <c r="B13" s="16">
        <v>23</v>
      </c>
      <c r="C13" s="16" t="s">
        <v>126</v>
      </c>
      <c r="D13" s="16">
        <v>6.8</v>
      </c>
      <c r="E13" s="16">
        <v>2</v>
      </c>
      <c r="F13" s="16">
        <v>10.11</v>
      </c>
      <c r="G13" s="16" t="s">
        <v>209</v>
      </c>
      <c r="H13" s="16" t="s">
        <v>197</v>
      </c>
      <c r="I13" s="16" t="s">
        <v>127</v>
      </c>
      <c r="J13" s="16" t="s">
        <v>156</v>
      </c>
    </row>
    <row r="14" spans="1:12" x14ac:dyDescent="0.3">
      <c r="A14" s="11" t="s">
        <v>220</v>
      </c>
      <c r="B14" s="16" t="s">
        <v>212</v>
      </c>
      <c r="C14" s="16" t="s">
        <v>212</v>
      </c>
      <c r="D14" s="16" t="s">
        <v>212</v>
      </c>
      <c r="E14" s="16" t="s">
        <v>212</v>
      </c>
      <c r="F14" s="16" t="s">
        <v>212</v>
      </c>
      <c r="G14" s="16" t="s">
        <v>212</v>
      </c>
      <c r="H14" s="16" t="s">
        <v>197</v>
      </c>
      <c r="I14" s="16" t="s">
        <v>127</v>
      </c>
      <c r="J14" s="16" t="s">
        <v>149</v>
      </c>
    </row>
    <row r="15" spans="1:12" x14ac:dyDescent="0.3">
      <c r="A15" s="11" t="s">
        <v>221</v>
      </c>
      <c r="B15" s="16" t="s">
        <v>212</v>
      </c>
      <c r="C15" s="16" t="s">
        <v>212</v>
      </c>
      <c r="D15" s="16" t="s">
        <v>212</v>
      </c>
      <c r="E15" s="16" t="s">
        <v>212</v>
      </c>
      <c r="F15" s="16" t="s">
        <v>212</v>
      </c>
      <c r="G15" s="16" t="s">
        <v>212</v>
      </c>
      <c r="H15" s="16" t="s">
        <v>197</v>
      </c>
      <c r="I15" s="16" t="s">
        <v>127</v>
      </c>
      <c r="J15" s="16" t="s">
        <v>149</v>
      </c>
    </row>
    <row r="16" spans="1:12" x14ac:dyDescent="0.3">
      <c r="A16" s="11" t="s">
        <v>222</v>
      </c>
      <c r="B16" s="16" t="s">
        <v>212</v>
      </c>
      <c r="C16" s="16" t="s">
        <v>212</v>
      </c>
      <c r="D16" s="16" t="s">
        <v>212</v>
      </c>
      <c r="E16" s="16" t="s">
        <v>212</v>
      </c>
      <c r="F16" s="16" t="s">
        <v>212</v>
      </c>
      <c r="G16" s="16" t="s">
        <v>212</v>
      </c>
      <c r="H16" s="16" t="s">
        <v>197</v>
      </c>
      <c r="I16" s="16" t="s">
        <v>127</v>
      </c>
      <c r="J16" s="16" t="s">
        <v>149</v>
      </c>
    </row>
    <row r="17" spans="1:10" x14ac:dyDescent="0.3">
      <c r="A17" s="11" t="s">
        <v>223</v>
      </c>
      <c r="B17" s="16" t="s">
        <v>212</v>
      </c>
      <c r="C17" s="16" t="s">
        <v>212</v>
      </c>
      <c r="D17" s="16" t="s">
        <v>212</v>
      </c>
      <c r="E17" s="16" t="s">
        <v>212</v>
      </c>
      <c r="F17" s="16" t="s">
        <v>212</v>
      </c>
      <c r="G17" s="16" t="s">
        <v>212</v>
      </c>
      <c r="H17" s="16" t="s">
        <v>197</v>
      </c>
      <c r="I17" s="16" t="s">
        <v>127</v>
      </c>
      <c r="J17" s="16" t="s">
        <v>149</v>
      </c>
    </row>
    <row r="18" spans="1:10" x14ac:dyDescent="0.3">
      <c r="A18" s="11" t="s">
        <v>224</v>
      </c>
      <c r="B18" s="16" t="s">
        <v>212</v>
      </c>
      <c r="C18" s="16" t="s">
        <v>212</v>
      </c>
      <c r="D18" s="16" t="s">
        <v>212</v>
      </c>
      <c r="E18" s="16" t="s">
        <v>212</v>
      </c>
      <c r="F18" s="16" t="s">
        <v>212</v>
      </c>
      <c r="G18" s="16" t="s">
        <v>212</v>
      </c>
      <c r="H18" s="16" t="s">
        <v>197</v>
      </c>
      <c r="I18" s="16" t="s">
        <v>127</v>
      </c>
      <c r="J18" s="16" t="s">
        <v>149</v>
      </c>
    </row>
    <row r="19" spans="1:10" x14ac:dyDescent="0.3">
      <c r="A19" s="11" t="s">
        <v>225</v>
      </c>
      <c r="B19" s="16" t="s">
        <v>212</v>
      </c>
      <c r="C19" s="16" t="s">
        <v>212</v>
      </c>
      <c r="D19" s="16" t="s">
        <v>212</v>
      </c>
      <c r="E19" s="16" t="s">
        <v>212</v>
      </c>
      <c r="F19" s="16" t="s">
        <v>212</v>
      </c>
      <c r="G19" s="16" t="s">
        <v>212</v>
      </c>
      <c r="H19" s="16" t="s">
        <v>197</v>
      </c>
      <c r="I19" s="16" t="s">
        <v>127</v>
      </c>
      <c r="J19" s="16" t="s">
        <v>149</v>
      </c>
    </row>
    <row r="20" spans="1:10" x14ac:dyDescent="0.3">
      <c r="A20" s="11" t="s">
        <v>226</v>
      </c>
      <c r="B20" s="16" t="s">
        <v>212</v>
      </c>
      <c r="C20" s="16" t="s">
        <v>212</v>
      </c>
      <c r="D20" s="16" t="s">
        <v>212</v>
      </c>
      <c r="E20" s="16" t="s">
        <v>212</v>
      </c>
      <c r="F20" s="16" t="s">
        <v>212</v>
      </c>
      <c r="G20" s="16" t="s">
        <v>212</v>
      </c>
      <c r="H20" s="16" t="s">
        <v>197</v>
      </c>
      <c r="I20" s="16" t="s">
        <v>127</v>
      </c>
      <c r="J20" s="16" t="s">
        <v>149</v>
      </c>
    </row>
    <row r="21" spans="1:10" x14ac:dyDescent="0.3">
      <c r="A21" s="11" t="s">
        <v>227</v>
      </c>
      <c r="B21" s="16" t="s">
        <v>212</v>
      </c>
      <c r="C21" s="16" t="s">
        <v>212</v>
      </c>
      <c r="D21" s="16" t="s">
        <v>212</v>
      </c>
      <c r="E21" s="16" t="s">
        <v>212</v>
      </c>
      <c r="F21" s="16" t="s">
        <v>212</v>
      </c>
      <c r="G21" s="16" t="s">
        <v>212</v>
      </c>
      <c r="H21" s="16" t="s">
        <v>197</v>
      </c>
      <c r="I21" s="16" t="s">
        <v>127</v>
      </c>
      <c r="J21" s="16" t="s">
        <v>149</v>
      </c>
    </row>
    <row r="22" spans="1:10" x14ac:dyDescent="0.3">
      <c r="A22" s="11" t="s">
        <v>228</v>
      </c>
      <c r="B22" s="16" t="s">
        <v>212</v>
      </c>
      <c r="C22" s="16" t="s">
        <v>212</v>
      </c>
      <c r="D22" s="16" t="s">
        <v>212</v>
      </c>
      <c r="E22" s="16" t="s">
        <v>212</v>
      </c>
      <c r="F22" s="16" t="s">
        <v>212</v>
      </c>
      <c r="G22" s="16" t="s">
        <v>212</v>
      </c>
      <c r="H22" s="16" t="s">
        <v>197</v>
      </c>
      <c r="I22" s="16" t="s">
        <v>127</v>
      </c>
      <c r="J22" s="16" t="s">
        <v>149</v>
      </c>
    </row>
    <row r="23" spans="1:10" x14ac:dyDescent="0.3">
      <c r="A23" s="11" t="s">
        <v>229</v>
      </c>
      <c r="B23" s="16">
        <v>46</v>
      </c>
      <c r="C23" s="16" t="s">
        <v>126</v>
      </c>
      <c r="D23" s="16">
        <v>26.1</v>
      </c>
      <c r="E23" s="16">
        <v>4</v>
      </c>
      <c r="F23" s="16">
        <v>8.65</v>
      </c>
      <c r="G23" s="16" t="s">
        <v>209</v>
      </c>
      <c r="H23" s="16" t="s">
        <v>197</v>
      </c>
      <c r="I23" s="16" t="s">
        <v>127</v>
      </c>
      <c r="J23" s="16" t="s">
        <v>139</v>
      </c>
    </row>
    <row r="24" spans="1:10" x14ac:dyDescent="0.3">
      <c r="A24" s="11" t="s">
        <v>230</v>
      </c>
      <c r="B24" s="16">
        <v>51</v>
      </c>
      <c r="C24" s="16" t="s">
        <v>130</v>
      </c>
      <c r="D24" s="16">
        <v>43.6</v>
      </c>
      <c r="E24" s="16">
        <v>4</v>
      </c>
      <c r="F24" s="16">
        <v>7.2</v>
      </c>
      <c r="G24" s="16" t="s">
        <v>196</v>
      </c>
      <c r="H24" s="16" t="s">
        <v>197</v>
      </c>
      <c r="I24" s="16" t="s">
        <v>127</v>
      </c>
      <c r="J24" s="16" t="s">
        <v>139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study level</vt:lpstr>
      <vt:lpstr>sample level</vt:lpstr>
      <vt:lpstr>He_2020</vt:lpstr>
      <vt:lpstr>Rojahn_2020</vt:lpstr>
      <vt:lpstr>Rindler_2021</vt:lpstr>
      <vt:lpstr>Bangert_2021</vt:lpstr>
      <vt:lpstr>Alkon_2022_Healthy</vt:lpstr>
      <vt:lpstr>Alkon_2022_AD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manjulat</dc:creator>
  <cp:lastModifiedBy>Adaikalavan Ramasamy</cp:lastModifiedBy>
  <dcterms:created xsi:type="dcterms:W3CDTF">2026-08-14T14:54:48Z</dcterms:created>
  <dcterms:modified xsi:type="dcterms:W3CDTF">2026-08-19T16:44:35Z</dcterms:modified>
</cp:coreProperties>
</file>